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918" firstSheet="1" activeTab="1" autoFilterDateGrouping="1"/>
  </bookViews>
  <sheets>
    <sheet xmlns:r="http://schemas.openxmlformats.org/officeDocument/2006/relationships" name="All_Products" sheetId="1" state="visible" r:id="rId1"/>
    <sheet xmlns:r="http://schemas.openxmlformats.org/officeDocument/2006/relationships" name="HSN CODE" sheetId="2" state="visible" r:id="rId2"/>
    <sheet xmlns:r="http://schemas.openxmlformats.org/officeDocument/2006/relationships" name="Sal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2">
    <font>
      <name val="Arial"/>
      <charset val="1"/>
      <color rgb="FF000000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000000"/>
      <sz val="10"/>
    </font>
    <font>
      <name val="Arial"/>
      <charset val="1"/>
      <i val="1"/>
      <color rgb="FF808080"/>
      <sz val="10"/>
    </font>
    <font>
      <name val="Arial"/>
      <charset val="1"/>
      <b val="1"/>
      <color rgb="FF000000"/>
      <sz val="24"/>
    </font>
    <font>
      <name val="Arial"/>
      <charset val="1"/>
      <color rgb="FF0000EE"/>
      <sz val="10"/>
      <u val="single"/>
    </font>
    <font>
      <name val="Arial"/>
      <charset val="1"/>
      <b val="1"/>
      <i val="1"/>
      <color rgb="FF000000"/>
      <sz val="10"/>
      <u val="single"/>
    </font>
    <font>
      <name val="Arial"/>
      <charset val="1"/>
      <color rgb="FFCC0000"/>
      <sz val="10"/>
    </font>
    <font>
      <name val="Arial"/>
      <charset val="1"/>
      <b val="1"/>
      <color rgb="FF000000"/>
      <sz val="14"/>
    </font>
    <font>
      <name val="Arial"/>
      <charset val="1"/>
      <b val="1"/>
      <color rgb="FF000000"/>
      <sz val="20"/>
    </font>
    <font>
      <name val="Arial"/>
      <charset val="1"/>
      <b val="1"/>
      <color rgb="FF000000"/>
      <sz val="11"/>
    </font>
    <font>
      <name val="Arial"/>
      <charset val="1"/>
      <b val="1"/>
      <color rgb="FF000000"/>
      <sz val="12"/>
    </font>
    <font>
      <name val="Arial"/>
      <charset val="1"/>
      <b val="1"/>
      <color rgb="FF000000"/>
      <sz val="10.5"/>
    </font>
    <font>
      <name val="Arial"/>
      <charset val="1"/>
      <color rgb="FF000000"/>
      <sz val="11"/>
    </font>
    <font>
      <name val="Arial"/>
      <charset val="1"/>
      <color rgb="FF000000"/>
      <sz val="15"/>
    </font>
    <font>
      <name val="Arial"/>
      <charset val="1"/>
      <b val="1"/>
      <color rgb="FF000000"/>
      <sz val="15"/>
    </font>
    <font>
      <name val="Arial"/>
      <charset val="1"/>
      <color rgb="FF000000"/>
      <sz val="12"/>
    </font>
    <font>
      <name val="Arial"/>
      <charset val="1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8"/>
    </font>
    <font>
      <name val="Arial"/>
      <family val="2"/>
      <color rgb="FF000000"/>
      <sz val="11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0"/>
    </font>
    <font>
      <name val="Arial"/>
      <family val="2"/>
      <color rgb="FF000000"/>
      <sz val="18"/>
    </font>
    <font>
      <name val="Arial"/>
      <family val="2"/>
      <b val="1"/>
      <color rgb="FF000000"/>
      <sz val="15"/>
    </font>
    <font>
      <name val="Arial"/>
      <family val="2"/>
      <b val="1"/>
      <color rgb="FF000000"/>
      <sz val="16"/>
    </font>
    <font>
      <b val="1"/>
      <sz val="11"/>
    </font>
    <font>
      <b val="1"/>
      <color rgb="00FFFFFF"/>
      <sz val="11"/>
    </font>
  </fonts>
  <fills count="25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800000"/>
      </patternFill>
    </fill>
    <fill>
      <patternFill patternType="solid">
        <fgColor rgb="FFBBE33D"/>
        <bgColor rgb="FFD4EA6B"/>
      </patternFill>
    </fill>
    <fill>
      <patternFill patternType="solid">
        <fgColor rgb="FF81D41A"/>
        <bgColor rgb="FF92D050"/>
      </patternFill>
    </fill>
    <fill>
      <patternFill patternType="solid">
        <fgColor rgb="FF92D050"/>
        <bgColor rgb="FF81D41A"/>
      </patternFill>
    </fill>
    <fill>
      <patternFill patternType="solid">
        <fgColor rgb="FFD4EA6B"/>
        <bgColor rgb="FFBBE33D"/>
      </patternFill>
    </fill>
    <fill>
      <patternFill patternType="solid">
        <fgColor rgb="FF92D050"/>
        <bgColor rgb="FFD4EA6B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4EA6B"/>
      </patternFill>
    </fill>
    <fill>
      <patternFill patternType="solid">
        <fgColor rgb="FF00B0F0"/>
        <bgColor rgb="FFD4EA6B"/>
      </patternFill>
    </fill>
    <fill>
      <patternFill patternType="solid">
        <fgColor rgb="FF00B050"/>
        <bgColor rgb="FFD4EA6B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81D41A"/>
      </patternFill>
    </fill>
    <fill>
      <patternFill patternType="solid">
        <fgColor rgb="FF00B0F0"/>
        <bgColor rgb="FF81D41A"/>
      </patternFill>
    </fill>
    <fill>
      <patternFill patternType="solid">
        <fgColor theme="7" tint="0.3999755851924192"/>
        <bgColor rgb="FF81D41A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indexed="64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3">
    <xf numFmtId="0" fontId="17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1" fillId="5" borderId="0"/>
    <xf numFmtId="0" fontId="3" fillId="0" borderId="0"/>
    <xf numFmtId="0" fontId="4" fillId="0" borderId="0"/>
    <xf numFmtId="0" fontId="5" fillId="0" borderId="0"/>
    <xf numFmtId="0" fontId="6" fillId="0" borderId="0"/>
    <xf numFmtId="0" fontId="17" fillId="0" borderId="0"/>
    <xf numFmtId="0" fontId="17" fillId="0" borderId="0"/>
    <xf numFmtId="0" fontId="7" fillId="0" borderId="0"/>
  </cellStyleXfs>
  <cellXfs count="131">
    <xf numFmtId="0" fontId="0" fillId="0" borderId="0" pivotButton="0" quotePrefix="0" xfId="0"/>
    <xf numFmtId="2" fontId="12" fillId="6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8" fillId="7" borderId="0" pivotButton="0" quotePrefix="0" xfId="0"/>
    <xf numFmtId="0" fontId="0" fillId="8" borderId="0" pivotButton="0" quotePrefix="0" xfId="0"/>
    <xf numFmtId="0" fontId="11" fillId="8" borderId="0" pivotButton="0" quotePrefix="0" xfId="0"/>
    <xf numFmtId="2" fontId="12" fillId="8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1" fillId="6" borderId="0" pivotButton="0" quotePrefix="0" xfId="0"/>
    <xf numFmtId="0" fontId="0" fillId="6" borderId="0" applyAlignment="1" pivotButton="0" quotePrefix="0" xfId="0">
      <alignment wrapText="1"/>
    </xf>
    <xf numFmtId="0" fontId="8" fillId="8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18" fillId="8" borderId="0" pivotButton="0" quotePrefix="0" xfId="0"/>
    <xf numFmtId="0" fontId="21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21" fillId="17" borderId="4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6" fillId="11" borderId="4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1" fontId="16" fillId="11" borderId="1" applyAlignment="1" pivotButton="0" quotePrefix="0" xfId="0">
      <alignment horizontal="center" vertical="center"/>
    </xf>
    <xf numFmtId="1" fontId="25" fillId="11" borderId="1" applyAlignment="1" pivotButton="0" quotePrefix="0" xfId="0">
      <alignment horizontal="center" vertical="center"/>
    </xf>
    <xf numFmtId="1" fontId="11" fillId="11" borderId="1" applyAlignment="1" pivotButton="0" quotePrefix="0" xfId="0">
      <alignment horizontal="center" vertical="center"/>
    </xf>
    <xf numFmtId="0" fontId="16" fillId="13" borderId="4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1" fontId="16" fillId="13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2" fontId="8" fillId="10" borderId="1" applyAlignment="1" pivotButton="0" quotePrefix="0" xfId="0">
      <alignment horizontal="center" vertical="center"/>
    </xf>
    <xf numFmtId="2" fontId="18" fillId="10" borderId="1" applyAlignment="1" pivotButton="0" quotePrefix="0" xfId="0">
      <alignment horizontal="center" vertical="center"/>
    </xf>
    <xf numFmtId="1" fontId="13" fillId="10" borderId="1" applyAlignment="1" pivotButton="0" quotePrefix="0" xfId="0">
      <alignment horizontal="center" vertical="center"/>
    </xf>
    <xf numFmtId="1" fontId="8" fillId="10" borderId="1" applyAlignment="1" pivotButton="0" quotePrefix="0" xfId="0">
      <alignment horizontal="center" vertical="center"/>
    </xf>
    <xf numFmtId="1" fontId="18" fillId="10" borderId="1" applyAlignment="1" pivotButton="0" quotePrefix="0" xfId="0">
      <alignment horizontal="center" vertical="center"/>
    </xf>
    <xf numFmtId="1" fontId="21" fillId="6" borderId="1" applyAlignment="1" pivotButton="0" quotePrefix="0" xfId="0">
      <alignment horizontal="center" vertical="center" wrapText="1"/>
    </xf>
    <xf numFmtId="1" fontId="18" fillId="19" borderId="1" applyAlignment="1" pivotButton="0" quotePrefix="0" xfId="0">
      <alignment horizontal="center" vertical="center"/>
    </xf>
    <xf numFmtId="1" fontId="18" fillId="8" borderId="1" applyAlignment="1" pivotButton="0" quotePrefix="0" xfId="0">
      <alignment horizontal="center" vertical="center"/>
    </xf>
    <xf numFmtId="1" fontId="18" fillId="18" borderId="1" applyAlignment="1" pivotButton="0" quotePrefix="0" xfId="0">
      <alignment horizontal="center" vertical="center"/>
    </xf>
    <xf numFmtId="1" fontId="18" fillId="20" borderId="1" applyAlignment="1" pivotButton="0" quotePrefix="0" xfId="0">
      <alignment horizontal="center" vertical="center"/>
    </xf>
    <xf numFmtId="1" fontId="10" fillId="6" borderId="1" applyAlignment="1" pivotButton="0" quotePrefix="0" xfId="0">
      <alignment horizontal="center" vertical="center" wrapText="1"/>
    </xf>
    <xf numFmtId="1" fontId="8" fillId="6" borderId="1" applyAlignment="1" pivotButton="0" quotePrefix="0" xfId="0">
      <alignment horizontal="center" vertical="center" wrapText="1"/>
    </xf>
    <xf numFmtId="1" fontId="11" fillId="6" borderId="1" applyAlignment="1" pivotButton="0" quotePrefix="0" xfId="0">
      <alignment horizontal="center" vertical="center" wrapText="1"/>
    </xf>
    <xf numFmtId="1" fontId="13" fillId="6" borderId="1" applyAlignment="1" pivotButton="0" quotePrefix="0" xfId="0">
      <alignment horizontal="center" vertical="center"/>
    </xf>
    <xf numFmtId="1" fontId="8" fillId="6" borderId="1" applyAlignment="1" pivotButton="0" quotePrefix="0" xfId="0">
      <alignment horizontal="center" vertical="center"/>
    </xf>
    <xf numFmtId="1" fontId="18" fillId="6" borderId="1" applyAlignment="1" pivotButton="0" quotePrefix="0" xfId="0">
      <alignment horizontal="center" vertical="center"/>
    </xf>
    <xf numFmtId="1" fontId="13" fillId="14" borderId="1" applyAlignment="1" pivotButton="0" quotePrefix="0" xfId="0">
      <alignment horizontal="center" vertical="center"/>
    </xf>
    <xf numFmtId="1" fontId="8" fillId="14" borderId="1" applyAlignment="1" pivotButton="0" quotePrefix="0" xfId="0">
      <alignment horizontal="center" vertical="center"/>
    </xf>
    <xf numFmtId="1" fontId="18" fillId="14" borderId="1" applyAlignment="1" pivotButton="0" quotePrefix="0" xfId="0">
      <alignment horizontal="center" vertical="center"/>
    </xf>
    <xf numFmtId="2" fontId="12" fillId="21" borderId="0" applyAlignment="1" pivotButton="0" quotePrefix="0" xfId="0">
      <alignment horizontal="center" vertical="center" wrapText="1"/>
    </xf>
    <xf numFmtId="2" fontId="0" fillId="21" borderId="0" applyAlignment="1" pivotButton="0" quotePrefix="0" xfId="0">
      <alignment horizontal="center" vertical="center"/>
    </xf>
    <xf numFmtId="0" fontId="0" fillId="21" borderId="0" pivotButton="0" quotePrefix="0" xfId="0"/>
    <xf numFmtId="1" fontId="10" fillId="15" borderId="1" applyAlignment="1" pivotButton="0" quotePrefix="0" xfId="0">
      <alignment horizontal="center" vertical="center" wrapText="1"/>
    </xf>
    <xf numFmtId="1" fontId="8" fillId="15" borderId="1" applyAlignment="1" pivotButton="0" quotePrefix="0" xfId="0">
      <alignment horizontal="center" vertical="center" wrapText="1"/>
    </xf>
    <xf numFmtId="1" fontId="11" fillId="15" borderId="1" applyAlignment="1" pivotButton="0" quotePrefix="0" xfId="0">
      <alignment horizontal="center" vertical="center" wrapText="1"/>
    </xf>
    <xf numFmtId="1" fontId="12" fillId="15" borderId="1" applyAlignment="1" pivotButton="0" quotePrefix="0" xfId="0">
      <alignment horizontal="center" vertical="center" wrapText="1"/>
    </xf>
    <xf numFmtId="1" fontId="13" fillId="21" borderId="1" applyAlignment="1" pivotButton="0" quotePrefix="0" xfId="0">
      <alignment horizontal="center" vertical="center"/>
    </xf>
    <xf numFmtId="1" fontId="0" fillId="7" borderId="1" applyAlignment="1" pivotButton="0" quotePrefix="0" xfId="0">
      <alignment horizontal="center" vertical="center"/>
    </xf>
    <xf numFmtId="1" fontId="10" fillId="7" borderId="1" applyAlignment="1" pivotButton="0" quotePrefix="0" xfId="0">
      <alignment horizontal="center" vertical="center" wrapText="1"/>
    </xf>
    <xf numFmtId="1" fontId="13" fillId="12" borderId="1" applyAlignment="1" pivotButton="0" quotePrefix="0" xfId="0">
      <alignment horizontal="center" vertical="center"/>
    </xf>
    <xf numFmtId="1" fontId="13" fillId="7" borderId="1" applyAlignment="1" pivotButton="0" quotePrefix="0" xfId="0">
      <alignment horizontal="center" vertical="center"/>
    </xf>
    <xf numFmtId="1" fontId="18" fillId="12" borderId="1" applyAlignment="1" pivotButton="0" quotePrefix="0" xfId="0">
      <alignment horizontal="center" vertical="center"/>
    </xf>
    <xf numFmtId="1" fontId="24" fillId="7" borderId="1" applyAlignment="1" pivotButton="0" quotePrefix="0" xfId="0">
      <alignment horizontal="center" vertical="center"/>
    </xf>
    <xf numFmtId="0" fontId="19" fillId="0" borderId="0" pivotButton="0" quotePrefix="0" xfId="0"/>
    <xf numFmtId="2" fontId="18" fillId="8" borderId="0" applyAlignment="1" pivotButton="0" quotePrefix="0" xfId="0">
      <alignment horizontal="center" vertical="center"/>
    </xf>
    <xf numFmtId="0" fontId="18" fillId="0" borderId="0" pivotButton="0" quotePrefix="0" xfId="0"/>
    <xf numFmtId="1" fontId="21" fillId="10" borderId="1" applyAlignment="1" pivotButton="0" quotePrefix="0" xfId="0">
      <alignment horizontal="center" vertical="center"/>
    </xf>
    <xf numFmtId="1" fontId="21" fillId="10" borderId="1" applyAlignment="1" pivotButton="0" quotePrefix="0" xfId="0">
      <alignment horizontal="center" vertical="center" wrapText="1"/>
    </xf>
    <xf numFmtId="0" fontId="18" fillId="6" borderId="0" applyAlignment="1" pivotButton="0" quotePrefix="0" xfId="0">
      <alignment wrapText="1"/>
    </xf>
    <xf numFmtId="1" fontId="21" fillId="14" borderId="1" applyAlignment="1" pivotButton="0" quotePrefix="0" xfId="0">
      <alignment horizontal="center" vertical="center"/>
    </xf>
    <xf numFmtId="1" fontId="21" fillId="14" borderId="1" applyAlignment="1" pivotButton="0" quotePrefix="0" xfId="0">
      <alignment horizontal="center" vertical="center" wrapText="1"/>
    </xf>
    <xf numFmtId="1" fontId="25" fillId="6" borderId="1" applyAlignment="1" pivotButton="0" quotePrefix="0" xfId="0">
      <alignment horizontal="center" vertical="center" wrapText="1"/>
    </xf>
    <xf numFmtId="1" fontId="18" fillId="14" borderId="2" applyAlignment="1" pivotButton="0" quotePrefix="0" xfId="0">
      <alignment horizontal="center" vertical="center"/>
    </xf>
    <xf numFmtId="1" fontId="18" fillId="14" borderId="3" applyAlignment="1" pivotButton="0" quotePrefix="0" xfId="0">
      <alignment horizontal="center" vertical="center"/>
    </xf>
    <xf numFmtId="1" fontId="21" fillId="14" borderId="3" applyAlignment="1" pivotButton="0" quotePrefix="0" xfId="0">
      <alignment horizontal="center" vertical="center"/>
    </xf>
    <xf numFmtId="1" fontId="21" fillId="14" borderId="3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1" fontId="26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29" fillId="11" borderId="0" pivotButton="0" quotePrefix="0" xfId="0"/>
    <xf numFmtId="1" fontId="25" fillId="13" borderId="1" applyAlignment="1" pivotButton="0" quotePrefix="0" xfId="0">
      <alignment horizontal="center" vertical="center"/>
    </xf>
    <xf numFmtId="1" fontId="11" fillId="13" borderId="1" applyAlignment="1" pivotButton="0" quotePrefix="0" xfId="0">
      <alignment horizontal="center" vertical="center"/>
    </xf>
    <xf numFmtId="1" fontId="29" fillId="22" borderId="0" applyAlignment="1" pivotButton="0" quotePrefix="0" xfId="0">
      <alignment horizontal="center" vertical="center"/>
    </xf>
    <xf numFmtId="0" fontId="19" fillId="13" borderId="0" applyAlignment="1" pivotButton="0" quotePrefix="0" xfId="0">
      <alignment horizontal="center" vertical="center"/>
    </xf>
    <xf numFmtId="2" fontId="23" fillId="0" borderId="0" applyAlignment="1" pivotButton="0" quotePrefix="0" xfId="0">
      <alignment horizontal="center" vertical="center"/>
    </xf>
    <xf numFmtId="2" fontId="22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" fontId="22" fillId="11" borderId="1" applyAlignment="1" pivotButton="0" quotePrefix="0" xfId="0">
      <alignment horizontal="center" vertical="center" wrapText="1"/>
    </xf>
    <xf numFmtId="2" fontId="22" fillId="11" borderId="1" applyAlignment="1" pivotButton="0" quotePrefix="0" xfId="0">
      <alignment horizontal="center" vertical="center" wrapText="1"/>
    </xf>
    <xf numFmtId="1" fontId="13" fillId="11" borderId="1" applyAlignment="1" pivotButton="0" quotePrefix="0" xfId="0">
      <alignment horizontal="center" vertical="center"/>
    </xf>
    <xf numFmtId="2" fontId="13" fillId="11" borderId="1" applyAlignment="1" pivotButton="0" quotePrefix="0" xfId="0">
      <alignment horizontal="center" vertical="center"/>
    </xf>
    <xf numFmtId="1" fontId="8" fillId="11" borderId="1" applyAlignment="1" pivotButton="0" quotePrefix="0" xfId="0">
      <alignment horizontal="center" vertical="center"/>
    </xf>
    <xf numFmtId="1" fontId="18" fillId="11" borderId="1" applyAlignment="1" pivotButton="0" quotePrefix="0" xfId="0">
      <alignment horizontal="center" vertical="center"/>
    </xf>
    <xf numFmtId="1" fontId="12" fillId="11" borderId="1" applyAlignment="1" pivotButton="0" quotePrefix="0" xfId="0">
      <alignment horizontal="center" vertical="center" wrapText="1"/>
    </xf>
    <xf numFmtId="1" fontId="22" fillId="11" borderId="1" applyAlignment="1" pivotButton="0" quotePrefix="0" xfId="0">
      <alignment horizontal="center" vertical="center"/>
    </xf>
    <xf numFmtId="2" fontId="0" fillId="13" borderId="0" applyAlignment="1" pivotButton="0" quotePrefix="0" xfId="0">
      <alignment horizontal="center" vertical="center"/>
    </xf>
    <xf numFmtId="2" fontId="8" fillId="13" borderId="0" applyAlignment="1" pivotButton="0" quotePrefix="0" xfId="0">
      <alignment horizontal="center" vertical="center"/>
    </xf>
    <xf numFmtId="2" fontId="2" fillId="13" borderId="0" applyAlignment="1" pivotButton="0" quotePrefix="0" xfId="0">
      <alignment horizontal="center" vertical="center"/>
    </xf>
    <xf numFmtId="2" fontId="23" fillId="13" borderId="0" applyAlignment="1" pivotButton="0" quotePrefix="0" xfId="0">
      <alignment horizontal="center" vertical="center"/>
    </xf>
    <xf numFmtId="1" fontId="23" fillId="11" borderId="2" applyAlignment="1" pivotButton="0" quotePrefix="0" xfId="0">
      <alignment horizontal="center" vertical="center"/>
    </xf>
    <xf numFmtId="1" fontId="23" fillId="11" borderId="3" applyAlignment="1" pivotButton="0" quotePrefix="0" xfId="0">
      <alignment horizontal="center" vertical="center"/>
    </xf>
    <xf numFmtId="1" fontId="14" fillId="7" borderId="2" applyAlignment="1" pivotButton="0" quotePrefix="0" xfId="0">
      <alignment horizontal="center" vertical="center"/>
    </xf>
    <xf numFmtId="1" fontId="14" fillId="7" borderId="3" applyAlignment="1" pivotButton="0" quotePrefix="0" xfId="0">
      <alignment horizontal="center" vertical="center"/>
    </xf>
    <xf numFmtId="1" fontId="27" fillId="16" borderId="2" applyAlignment="1" pivotButton="0" quotePrefix="0" xfId="0">
      <alignment horizontal="center" vertical="center"/>
    </xf>
    <xf numFmtId="1" fontId="27" fillId="16" borderId="3" applyAlignment="1" pivotButton="0" quotePrefix="0" xfId="0">
      <alignment horizontal="center" vertical="center"/>
    </xf>
    <xf numFmtId="1" fontId="9" fillId="7" borderId="0" applyAlignment="1" pivotButton="0" quotePrefix="0" xfId="0">
      <alignment horizontal="center" vertical="center"/>
    </xf>
    <xf numFmtId="1" fontId="9" fillId="6" borderId="2" applyAlignment="1" pivotButton="0" quotePrefix="0" xfId="0">
      <alignment horizontal="center" vertical="center"/>
    </xf>
    <xf numFmtId="1" fontId="9" fillId="6" borderId="3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5" fillId="9" borderId="3" applyAlignment="1" pivotButton="0" quotePrefix="0" xfId="0">
      <alignment horizontal="center" vertical="center"/>
    </xf>
    <xf numFmtId="0" fontId="28" fillId="9" borderId="2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31" fillId="23" borderId="0" applyAlignment="1" pivotButton="0" quotePrefix="0" xfId="0">
      <alignment horizontal="center" vertical="center"/>
    </xf>
    <xf numFmtId="0" fontId="0" fillId="24" borderId="0" pivotButton="0" quotePrefix="0" xfId="0"/>
    <xf numFmtId="0" fontId="0" fillId="24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</cellXfs>
  <cellStyles count="13">
    <cellStyle name="Normal" xfId="0" builtinId="0"/>
    <cellStyle name="Accent 1 5" xfId="1"/>
    <cellStyle name="Accent 2 6" xfId="2"/>
    <cellStyle name="Accent 3 7" xfId="3"/>
    <cellStyle name="Accent 4" xfId="4"/>
    <cellStyle name="Error 8" xfId="5"/>
    <cellStyle name="Footnote 9" xfId="6"/>
    <cellStyle name="Heading 10" xfId="7"/>
    <cellStyle name="Hyperlink 11" xfId="8"/>
    <cellStyle name="Result 12" xfId="9"/>
    <cellStyle name="Status 13" xfId="10"/>
    <cellStyle name="Text 14" xfId="11"/>
    <cellStyle name="Warning 15" xfId="12"/>
  </cellStyle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D05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81D41A"/>
      <rgbColor rgb="FFBBE33D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</cols>
  <sheetData>
    <row r="1">
      <c r="A1" s="124" t="inlineStr">
        <is>
          <t>S_No</t>
        </is>
      </c>
      <c r="B1" s="124" t="inlineStr">
        <is>
          <t>Category</t>
        </is>
      </c>
      <c r="C1" s="124" t="inlineStr">
        <is>
          <t>Quantity</t>
        </is>
      </c>
      <c r="D1" s="124" t="inlineStr">
        <is>
          <t>Unit_Price</t>
        </is>
      </c>
      <c r="E1" s="124" t="inlineStr">
        <is>
          <t>Margin</t>
        </is>
      </c>
      <c r="F1" s="124" t="inlineStr">
        <is>
          <t>Selling_Price</t>
        </is>
      </c>
      <c r="G1" s="124" t="inlineStr">
        <is>
          <t>Total_Cost</t>
        </is>
      </c>
    </row>
    <row r="2">
      <c r="A2" s="125" t="n">
        <v>1</v>
      </c>
      <c r="B2" s="125" t="inlineStr">
        <is>
          <t>Kids Safety Cover</t>
        </is>
      </c>
      <c r="C2" s="126" t="n">
        <v>5</v>
      </c>
      <c r="D2" s="126" t="n">
        <v>1.75</v>
      </c>
      <c r="E2" s="126" t="n">
        <v>22</v>
      </c>
      <c r="F2" s="126" t="n">
        <v>30.75</v>
      </c>
      <c r="G2" s="126" t="n">
        <v>8.75</v>
      </c>
    </row>
    <row r="3">
      <c r="A3" t="n">
        <v>2</v>
      </c>
      <c r="B3" t="inlineStr">
        <is>
          <t>Kids Safety Cover</t>
        </is>
      </c>
      <c r="C3" s="127" t="n">
        <v>6</v>
      </c>
      <c r="D3" s="127" t="n">
        <v>1.75</v>
      </c>
      <c r="E3" s="127" t="n">
        <v>22</v>
      </c>
      <c r="F3" s="127" t="n">
        <v>32.5</v>
      </c>
      <c r="G3" s="127" t="n">
        <v>10.5</v>
      </c>
    </row>
    <row r="4">
      <c r="A4" s="125" t="n">
        <v>3</v>
      </c>
      <c r="B4" s="125" t="inlineStr">
        <is>
          <t>Kids Safety Cover</t>
        </is>
      </c>
      <c r="C4" s="126" t="n">
        <v>8</v>
      </c>
      <c r="D4" s="126" t="n">
        <v>1.75</v>
      </c>
      <c r="E4" s="126" t="n">
        <v>22</v>
      </c>
      <c r="F4" s="126" t="n">
        <v>36</v>
      </c>
      <c r="G4" s="126" t="n">
        <v>14</v>
      </c>
    </row>
    <row r="5">
      <c r="A5" t="n">
        <v>4</v>
      </c>
      <c r="B5" t="inlineStr">
        <is>
          <t>Kids Safety Cover</t>
        </is>
      </c>
      <c r="C5" s="127" t="n">
        <v>10</v>
      </c>
      <c r="D5" s="127" t="n">
        <v>1.75</v>
      </c>
      <c r="E5" s="127" t="n">
        <v>23</v>
      </c>
      <c r="F5" s="127" t="n">
        <v>40.5</v>
      </c>
      <c r="G5" s="127" t="n">
        <v>17.5</v>
      </c>
    </row>
    <row r="6">
      <c r="A6" s="125" t="n">
        <v>5</v>
      </c>
      <c r="B6" s="125" t="inlineStr">
        <is>
          <t>Kids Safety Cover</t>
        </is>
      </c>
      <c r="C6" s="126" t="n">
        <v>12</v>
      </c>
      <c r="D6" s="126" t="n">
        <v>1.75</v>
      </c>
      <c r="E6" s="126" t="n">
        <v>26</v>
      </c>
      <c r="F6" s="126" t="n">
        <v>47</v>
      </c>
      <c r="G6" s="126" t="n">
        <v>21</v>
      </c>
    </row>
    <row r="7">
      <c r="A7" t="n">
        <v>6</v>
      </c>
      <c r="B7" t="inlineStr">
        <is>
          <t>Kids Safety Cover</t>
        </is>
      </c>
      <c r="C7" s="127" t="n">
        <v>15</v>
      </c>
      <c r="D7" s="127" t="n">
        <v>1.75</v>
      </c>
      <c r="E7" s="127" t="n">
        <v>30</v>
      </c>
      <c r="F7" s="127" t="n">
        <v>56.25</v>
      </c>
      <c r="G7" s="127" t="n">
        <v>26.25</v>
      </c>
    </row>
    <row r="8">
      <c r="A8" s="125" t="n">
        <v>7</v>
      </c>
      <c r="B8" s="125" t="inlineStr">
        <is>
          <t>Kids Safety Cover</t>
        </is>
      </c>
      <c r="C8" s="126" t="n">
        <v>20</v>
      </c>
      <c r="D8" s="126" t="n">
        <v>1.75</v>
      </c>
      <c r="E8" s="126" t="n">
        <v>36</v>
      </c>
      <c r="F8" s="126" t="n">
        <v>71</v>
      </c>
      <c r="G8" s="126" t="n">
        <v>35</v>
      </c>
    </row>
    <row r="9">
      <c r="A9" t="n">
        <v>8</v>
      </c>
      <c r="B9" t="inlineStr">
        <is>
          <t>Kids Safety Cover</t>
        </is>
      </c>
      <c r="C9" s="127" t="n">
        <v>25</v>
      </c>
      <c r="D9" s="127" t="n">
        <v>1.75</v>
      </c>
      <c r="E9" s="127" t="n">
        <v>43</v>
      </c>
      <c r="F9" s="127" t="n">
        <v>86.75</v>
      </c>
      <c r="G9" s="127" t="n">
        <v>43.75</v>
      </c>
    </row>
    <row r="10">
      <c r="A10" s="125" t="n">
        <v>9</v>
      </c>
      <c r="B10" s="125" t="inlineStr">
        <is>
          <t>Kids Safety Cover</t>
        </is>
      </c>
      <c r="C10" s="126" t="n">
        <v>30</v>
      </c>
      <c r="D10" s="126" t="n">
        <v>1.75</v>
      </c>
      <c r="E10" s="126" t="n">
        <v>50</v>
      </c>
      <c r="F10" s="126" t="n">
        <v>102.5</v>
      </c>
      <c r="G10" s="126" t="n">
        <v>52.5</v>
      </c>
    </row>
    <row r="11">
      <c r="A11" t="n">
        <v>10</v>
      </c>
      <c r="B11" t="inlineStr">
        <is>
          <t>Mask</t>
        </is>
      </c>
      <c r="C11" s="127" t="n">
        <v>25</v>
      </c>
      <c r="D11" s="127" t="n">
        <v>0.53</v>
      </c>
      <c r="E11" s="127" t="n">
        <v>28</v>
      </c>
      <c r="F11" s="127" t="n">
        <v>41.25</v>
      </c>
      <c r="G11" s="127" t="n">
        <v>13.25</v>
      </c>
    </row>
    <row r="12">
      <c r="A12" s="125" t="n">
        <v>11</v>
      </c>
      <c r="B12" s="125" t="inlineStr">
        <is>
          <t>Mask</t>
        </is>
      </c>
      <c r="C12" s="126" t="n">
        <v>50</v>
      </c>
      <c r="D12" s="126" t="n">
        <v>0.53</v>
      </c>
      <c r="E12" s="126" t="n">
        <v>30</v>
      </c>
      <c r="F12" s="126" t="n">
        <v>56.5</v>
      </c>
      <c r="G12" s="126" t="n">
        <v>26.5</v>
      </c>
    </row>
    <row r="13">
      <c r="A13" t="n">
        <v>12</v>
      </c>
      <c r="B13" t="inlineStr">
        <is>
          <t>Mask</t>
        </is>
      </c>
      <c r="C13" s="127" t="n">
        <v>100</v>
      </c>
      <c r="D13" s="127" t="n">
        <v>0.53</v>
      </c>
      <c r="E13" s="127" t="n">
        <v>33</v>
      </c>
      <c r="F13" s="127" t="n">
        <v>86</v>
      </c>
      <c r="G13" s="127" t="n">
        <v>53</v>
      </c>
    </row>
    <row r="14">
      <c r="A14" s="125" t="n">
        <v>13</v>
      </c>
      <c r="B14" s="125" t="inlineStr">
        <is>
          <t>Mask</t>
        </is>
      </c>
      <c r="C14" s="126" t="n">
        <v>200</v>
      </c>
      <c r="D14" s="126" t="n">
        <v>0.53</v>
      </c>
      <c r="E14" s="126" t="n">
        <v>57</v>
      </c>
      <c r="F14" s="126" t="n">
        <v>163</v>
      </c>
      <c r="G14" s="126" t="n">
        <v>106</v>
      </c>
    </row>
    <row r="15">
      <c r="A15" t="n">
        <v>14</v>
      </c>
      <c r="B15" t="inlineStr">
        <is>
          <t>Mask</t>
        </is>
      </c>
      <c r="C15" s="127" t="n">
        <v>300</v>
      </c>
      <c r="D15" s="127" t="n">
        <v>0.53</v>
      </c>
      <c r="E15" s="127" t="n">
        <v>81</v>
      </c>
      <c r="F15" s="127" t="n">
        <v>240</v>
      </c>
      <c r="G15" s="127" t="n">
        <v>159</v>
      </c>
    </row>
    <row r="16">
      <c r="A16" s="125" t="n">
        <v>15</v>
      </c>
      <c r="B16" s="125" t="inlineStr">
        <is>
          <t>Mask</t>
        </is>
      </c>
      <c r="C16" s="126" t="n">
        <v>400</v>
      </c>
      <c r="D16" s="126" t="n">
        <v>0.53</v>
      </c>
      <c r="E16" s="126" t="n">
        <v>105</v>
      </c>
      <c r="F16" s="126" t="n">
        <v>317</v>
      </c>
      <c r="G16" s="126" t="n">
        <v>212</v>
      </c>
    </row>
    <row r="17">
      <c r="A17" t="n">
        <v>16</v>
      </c>
      <c r="B17" t="inlineStr">
        <is>
          <t>Mask</t>
        </is>
      </c>
      <c r="C17" s="127" t="n">
        <v>500</v>
      </c>
      <c r="D17" s="127" t="n">
        <v>0.53</v>
      </c>
      <c r="E17" s="127" t="n">
        <v>129</v>
      </c>
      <c r="F17" s="127" t="n">
        <v>394</v>
      </c>
      <c r="G17" s="127" t="n">
        <v>265</v>
      </c>
    </row>
    <row r="18">
      <c r="A18" s="125" t="n">
        <v>17</v>
      </c>
      <c r="B18" s="125" t="inlineStr">
        <is>
          <t>Mask</t>
        </is>
      </c>
      <c r="C18" s="126" t="n">
        <v>25</v>
      </c>
      <c r="D18" s="126" t="n">
        <v>0.61</v>
      </c>
      <c r="E18" s="126" t="n">
        <v>28</v>
      </c>
      <c r="F18" s="126" t="n">
        <v>43.25</v>
      </c>
      <c r="G18" s="126" t="n">
        <v>15.25</v>
      </c>
    </row>
    <row r="19">
      <c r="A19" t="n">
        <v>18</v>
      </c>
      <c r="B19" t="inlineStr">
        <is>
          <t>Mask</t>
        </is>
      </c>
      <c r="C19" s="127" t="n">
        <v>50</v>
      </c>
      <c r="D19" s="127" t="n">
        <v>0.61</v>
      </c>
      <c r="E19" s="127" t="n">
        <v>30</v>
      </c>
      <c r="F19" s="127" t="n">
        <v>60.5</v>
      </c>
      <c r="G19" s="127" t="n">
        <v>30.5</v>
      </c>
    </row>
    <row r="20">
      <c r="A20" s="125" t="n">
        <v>19</v>
      </c>
      <c r="B20" s="125" t="inlineStr">
        <is>
          <t>Mask</t>
        </is>
      </c>
      <c r="C20" s="126" t="n">
        <v>100</v>
      </c>
      <c r="D20" s="126" t="n">
        <v>0.61</v>
      </c>
      <c r="E20" s="126" t="n">
        <v>34</v>
      </c>
      <c r="F20" s="126" t="n">
        <v>95</v>
      </c>
      <c r="G20" s="126" t="n">
        <v>61</v>
      </c>
    </row>
    <row r="21">
      <c r="A21" t="n">
        <v>20</v>
      </c>
      <c r="B21" t="inlineStr">
        <is>
          <t>Mask</t>
        </is>
      </c>
      <c r="C21" s="127" t="n">
        <v>200</v>
      </c>
      <c r="D21" s="127" t="n">
        <v>0.61</v>
      </c>
      <c r="E21" s="127" t="n">
        <v>59</v>
      </c>
      <c r="F21" s="127" t="n">
        <v>181</v>
      </c>
      <c r="G21" s="127" t="n">
        <v>122</v>
      </c>
    </row>
    <row r="22">
      <c r="A22" s="125" t="n">
        <v>21</v>
      </c>
      <c r="B22" s="125" t="inlineStr">
        <is>
          <t>Mask</t>
        </is>
      </c>
      <c r="C22" s="126" t="n">
        <v>80</v>
      </c>
      <c r="D22" s="126" t="n">
        <v>0.61</v>
      </c>
      <c r="E22" s="126" t="n">
        <v>32</v>
      </c>
      <c r="F22" s="126" t="n">
        <v>80.8</v>
      </c>
      <c r="G22" s="126" t="n">
        <v>48.8</v>
      </c>
    </row>
    <row r="23">
      <c r="A23" t="n">
        <v>22</v>
      </c>
      <c r="B23" t="inlineStr">
        <is>
          <t>Mask</t>
        </is>
      </c>
      <c r="C23" s="127" t="n">
        <v>5</v>
      </c>
      <c r="D23" s="127" t="n">
        <v>3</v>
      </c>
      <c r="E23" s="127" t="n">
        <v>28</v>
      </c>
      <c r="F23" s="127" t="n">
        <v>43</v>
      </c>
      <c r="G23" s="127" t="n">
        <v>15</v>
      </c>
    </row>
    <row r="24">
      <c r="A24" s="125" t="n">
        <v>23</v>
      </c>
      <c r="B24" s="125" t="inlineStr">
        <is>
          <t>Mask</t>
        </is>
      </c>
      <c r="C24" s="126" t="n">
        <v>10</v>
      </c>
      <c r="D24" s="126" t="n">
        <v>3</v>
      </c>
      <c r="E24" s="126" t="n">
        <v>30</v>
      </c>
      <c r="F24" s="126" t="n">
        <v>60</v>
      </c>
      <c r="G24" s="126" t="n">
        <v>30</v>
      </c>
    </row>
    <row r="25">
      <c r="A25" t="n">
        <v>24</v>
      </c>
      <c r="B25" t="inlineStr">
        <is>
          <t>Mask</t>
        </is>
      </c>
      <c r="C25" s="127" t="n">
        <v>15</v>
      </c>
      <c r="D25" s="127" t="n">
        <v>3</v>
      </c>
      <c r="E25" s="127" t="n">
        <v>32</v>
      </c>
      <c r="F25" s="127" t="n">
        <v>32</v>
      </c>
      <c r="G25" s="127" t="n">
        <v>45</v>
      </c>
    </row>
    <row r="26">
      <c r="A26" s="125" t="n">
        <v>25</v>
      </c>
      <c r="B26" s="125" t="inlineStr">
        <is>
          <t>Mask</t>
        </is>
      </c>
      <c r="C26" s="126" t="n">
        <v>20</v>
      </c>
      <c r="D26" s="126" t="n">
        <v>3</v>
      </c>
      <c r="E26" s="126" t="n">
        <v>40</v>
      </c>
      <c r="F26" s="126" t="n">
        <v>100</v>
      </c>
      <c r="G26" s="126" t="n">
        <v>60</v>
      </c>
    </row>
    <row r="27">
      <c r="A27" t="n">
        <v>26</v>
      </c>
      <c r="B27" t="inlineStr">
        <is>
          <t>Mask</t>
        </is>
      </c>
      <c r="C27" s="127" t="n">
        <v>25</v>
      </c>
      <c r="D27" s="127" t="n">
        <v>3</v>
      </c>
      <c r="E27" s="127" t="n">
        <v>41</v>
      </c>
      <c r="F27" s="127" t="n">
        <v>116</v>
      </c>
      <c r="G27" s="127" t="n">
        <v>75</v>
      </c>
    </row>
    <row r="28">
      <c r="A28" s="125" t="n">
        <v>27</v>
      </c>
      <c r="B28" s="125" t="inlineStr">
        <is>
          <t>Mask</t>
        </is>
      </c>
      <c r="C28" s="126" t="n">
        <v>30</v>
      </c>
      <c r="D28" s="126" t="n">
        <v>3</v>
      </c>
      <c r="E28" s="126" t="n">
        <v>55</v>
      </c>
      <c r="F28" s="126" t="n">
        <v>145</v>
      </c>
      <c r="G28" s="126" t="n">
        <v>90</v>
      </c>
    </row>
    <row r="29">
      <c r="A29" t="n">
        <v>28</v>
      </c>
      <c r="B29" t="inlineStr">
        <is>
          <t>Heel and Foot Pad</t>
        </is>
      </c>
      <c r="C29" s="127" t="n">
        <v>1</v>
      </c>
      <c r="D29" s="127" t="n">
        <v>22</v>
      </c>
      <c r="E29" s="127" t="n">
        <v>32</v>
      </c>
      <c r="F29" s="127" t="n">
        <v>54</v>
      </c>
      <c r="G29" s="127" t="n">
        <v>22</v>
      </c>
    </row>
    <row r="30">
      <c r="A30" s="125" t="n">
        <v>29</v>
      </c>
      <c r="B30" s="125" t="inlineStr">
        <is>
          <t>Heel and Foot Pad</t>
        </is>
      </c>
      <c r="C30" s="126" t="n">
        <v>2</v>
      </c>
      <c r="D30" s="126" t="n">
        <v>22</v>
      </c>
      <c r="E30" s="126" t="n">
        <v>33</v>
      </c>
      <c r="F30" s="126" t="n">
        <v>77</v>
      </c>
      <c r="G30" s="126" t="n">
        <v>44</v>
      </c>
    </row>
    <row r="31">
      <c r="A31" t="n">
        <v>30</v>
      </c>
      <c r="B31" t="inlineStr">
        <is>
          <t>Heel and Foot Pad</t>
        </is>
      </c>
      <c r="C31" s="127" t="n">
        <v>1</v>
      </c>
      <c r="D31" s="127" t="n">
        <v>40</v>
      </c>
      <c r="E31" s="127" t="n">
        <v>33</v>
      </c>
      <c r="F31" s="127" t="n">
        <v>73</v>
      </c>
      <c r="G31" s="127" t="n">
        <v>40</v>
      </c>
    </row>
    <row r="32">
      <c r="A32" s="125" t="n">
        <v>31</v>
      </c>
      <c r="B32" s="125" t="inlineStr">
        <is>
          <t>Heel and Foot Pad</t>
        </is>
      </c>
      <c r="C32" s="126" t="n">
        <v>2</v>
      </c>
      <c r="D32" s="126" t="n">
        <v>40</v>
      </c>
      <c r="E32" s="126" t="n">
        <v>33</v>
      </c>
      <c r="F32" s="126" t="n">
        <v>113</v>
      </c>
      <c r="G32" s="126" t="n">
        <v>80</v>
      </c>
    </row>
    <row r="33">
      <c r="A33" t="n">
        <v>32</v>
      </c>
      <c r="B33" t="inlineStr">
        <is>
          <t>Heel and Foot Pad</t>
        </is>
      </c>
      <c r="C33" s="127" t="n">
        <v>1</v>
      </c>
      <c r="D33" s="127" t="n">
        <v>62</v>
      </c>
      <c r="E33" s="127" t="n">
        <v>33</v>
      </c>
      <c r="F33" s="127" t="n">
        <v>95</v>
      </c>
      <c r="G33" s="127" t="n">
        <v>62</v>
      </c>
    </row>
    <row r="34">
      <c r="A34" s="125" t="n">
        <v>33</v>
      </c>
      <c r="B34" s="125" t="inlineStr">
        <is>
          <t>Heel and Foot Pad</t>
        </is>
      </c>
      <c r="C34" s="126" t="n">
        <v>1</v>
      </c>
      <c r="D34" s="126" t="n">
        <v>22</v>
      </c>
      <c r="E34" s="126" t="n">
        <v>40</v>
      </c>
      <c r="F34" s="126" t="n">
        <v>62</v>
      </c>
      <c r="G34" s="126" t="n">
        <v>22</v>
      </c>
    </row>
    <row r="35">
      <c r="A35" t="n">
        <v>34</v>
      </c>
      <c r="B35" t="inlineStr">
        <is>
          <t>Heel and Foot Pad</t>
        </is>
      </c>
      <c r="C35" s="127" t="n">
        <v>2</v>
      </c>
      <c r="D35" s="127" t="n">
        <v>22</v>
      </c>
      <c r="E35" s="127" t="n">
        <v>40</v>
      </c>
      <c r="F35" s="127" t="n">
        <v>84</v>
      </c>
      <c r="G35" s="127" t="n">
        <v>44</v>
      </c>
    </row>
    <row r="36">
      <c r="A36" s="125" t="n">
        <v>35</v>
      </c>
      <c r="B36" s="125" t="inlineStr">
        <is>
          <t>Heel and Foot Pad</t>
        </is>
      </c>
      <c r="C36" s="126" t="n">
        <v>3</v>
      </c>
      <c r="D36" s="126" t="n">
        <v>22</v>
      </c>
      <c r="E36" s="126" t="n">
        <v>41</v>
      </c>
      <c r="F36" s="126" t="n">
        <v>107</v>
      </c>
      <c r="G36" s="126" t="n">
        <v>66</v>
      </c>
    </row>
    <row r="37">
      <c r="A37" t="n">
        <v>36</v>
      </c>
      <c r="B37" t="inlineStr">
        <is>
          <t>Heel and Foot Pad</t>
        </is>
      </c>
      <c r="C37" s="127" t="n">
        <v>1</v>
      </c>
      <c r="D37" s="127" t="n">
        <v>20</v>
      </c>
      <c r="E37" s="127" t="n">
        <v>21</v>
      </c>
      <c r="F37" s="127" t="n">
        <v>41</v>
      </c>
      <c r="G37" s="127" t="n">
        <v>20</v>
      </c>
    </row>
    <row r="38">
      <c r="A38" s="125" t="n">
        <v>37</v>
      </c>
      <c r="B38" s="125" t="inlineStr">
        <is>
          <t>Heel and Foot Pad</t>
        </is>
      </c>
      <c r="C38" s="126" t="n">
        <v>3</v>
      </c>
      <c r="D38" s="126" t="n">
        <v>7</v>
      </c>
      <c r="E38" s="126" t="n">
        <v>27</v>
      </c>
      <c r="F38" s="126" t="n">
        <v>48</v>
      </c>
      <c r="G38" s="126" t="n">
        <v>21</v>
      </c>
    </row>
    <row r="39">
      <c r="A39" t="n">
        <v>38</v>
      </c>
      <c r="B39" t="inlineStr">
        <is>
          <t>Heel and Foot Pad</t>
        </is>
      </c>
      <c r="C39" s="127" t="n">
        <v>5</v>
      </c>
      <c r="D39" s="127" t="n">
        <v>7</v>
      </c>
      <c r="E39" s="127" t="n">
        <v>22</v>
      </c>
      <c r="F39" s="127" t="n">
        <v>57</v>
      </c>
      <c r="G39" s="127" t="n">
        <v>35</v>
      </c>
    </row>
    <row r="40">
      <c r="A40" s="125" t="n">
        <v>39</v>
      </c>
      <c r="B40" s="125" t="inlineStr">
        <is>
          <t>Heel and Foot Pad</t>
        </is>
      </c>
      <c r="C40" s="126" t="n">
        <v>10</v>
      </c>
      <c r="D40" s="126" t="n">
        <v>7</v>
      </c>
      <c r="E40" s="126" t="n">
        <v>33</v>
      </c>
      <c r="F40" s="126" t="n">
        <v>103</v>
      </c>
      <c r="G40" s="126" t="n">
        <v>70</v>
      </c>
    </row>
    <row r="41">
      <c r="A41" t="n">
        <v>40</v>
      </c>
      <c r="B41" t="inlineStr">
        <is>
          <t>Hot Water Bag</t>
        </is>
      </c>
      <c r="C41" s="127" t="n">
        <v>1</v>
      </c>
      <c r="D41" s="127" t="n">
        <v>70</v>
      </c>
      <c r="E41" s="127" t="n">
        <v>36</v>
      </c>
      <c r="F41" s="127" t="n">
        <v>106</v>
      </c>
      <c r="G41" s="127" t="n">
        <v>70</v>
      </c>
    </row>
    <row r="42">
      <c r="A42" s="125" t="n">
        <v>41</v>
      </c>
      <c r="B42" s="125" t="inlineStr">
        <is>
          <t>Hot Water Bag</t>
        </is>
      </c>
      <c r="C42" s="126" t="n">
        <v>1</v>
      </c>
      <c r="D42" s="126" t="n">
        <v>52</v>
      </c>
      <c r="E42" s="126" t="n">
        <v>53</v>
      </c>
      <c r="F42" s="126" t="n">
        <v>105</v>
      </c>
      <c r="G42" s="126" t="n">
        <v>52</v>
      </c>
    </row>
    <row r="43">
      <c r="A43" t="n">
        <v>42</v>
      </c>
      <c r="B43" t="inlineStr">
        <is>
          <t>Hot Water Bag</t>
        </is>
      </c>
      <c r="C43" s="127" t="n">
        <v>1</v>
      </c>
      <c r="D43" s="127" t="n">
        <v>77</v>
      </c>
      <c r="E43" s="127" t="n">
        <v>48</v>
      </c>
      <c r="F43" s="127" t="n">
        <v>125</v>
      </c>
      <c r="G43" s="127" t="n">
        <v>77</v>
      </c>
    </row>
    <row r="44">
      <c r="A44" s="125" t="n">
        <v>43</v>
      </c>
      <c r="B44" s="125" t="inlineStr">
        <is>
          <t>Hot Water Bag</t>
        </is>
      </c>
      <c r="C44" s="126" t="n">
        <v>1</v>
      </c>
      <c r="D44" s="126" t="n">
        <v>64</v>
      </c>
      <c r="E44" s="126" t="n">
        <v>31</v>
      </c>
      <c r="F44" s="126" t="n">
        <v>95</v>
      </c>
      <c r="G44" s="126" t="n">
        <v>64</v>
      </c>
    </row>
    <row r="45">
      <c r="A45" t="n">
        <v>44</v>
      </c>
      <c r="B45" t="inlineStr">
        <is>
          <t>Hot Water Bag</t>
        </is>
      </c>
      <c r="C45" s="127" t="n">
        <v>1</v>
      </c>
      <c r="D45" s="127" t="n">
        <v>130</v>
      </c>
      <c r="E45" s="127" t="n">
        <v>92</v>
      </c>
      <c r="F45" s="127" t="n">
        <v>222</v>
      </c>
      <c r="G45" s="127" t="n">
        <v>130</v>
      </c>
    </row>
    <row r="46">
      <c r="A46" s="125" t="n">
        <v>45</v>
      </c>
      <c r="B46" s="125" t="inlineStr">
        <is>
          <t>Ear Plug</t>
        </is>
      </c>
      <c r="C46" s="126" t="n">
        <v>5</v>
      </c>
      <c r="D46" s="126" t="n">
        <v>8</v>
      </c>
      <c r="E46" s="126" t="n">
        <v>39</v>
      </c>
      <c r="F46" s="126" t="n">
        <v>79</v>
      </c>
      <c r="G46" s="126" t="n">
        <v>40</v>
      </c>
    </row>
    <row r="47">
      <c r="A47" t="n">
        <v>46</v>
      </c>
      <c r="B47" t="inlineStr">
        <is>
          <t>Ear Plug</t>
        </is>
      </c>
      <c r="C47" s="127" t="n">
        <v>10</v>
      </c>
      <c r="D47" s="127" t="n">
        <v>8</v>
      </c>
      <c r="E47" s="127" t="n">
        <v>39</v>
      </c>
      <c r="F47" s="127" t="n">
        <v>119</v>
      </c>
      <c r="G47" s="127" t="n">
        <v>80</v>
      </c>
    </row>
    <row r="48">
      <c r="A48" s="125" t="n">
        <v>47</v>
      </c>
      <c r="B48" s="125" t="inlineStr">
        <is>
          <t>Ear Plug</t>
        </is>
      </c>
      <c r="C48" s="126" t="n">
        <v>15</v>
      </c>
      <c r="D48" s="126" t="n">
        <v>8</v>
      </c>
      <c r="E48" s="126" t="n">
        <v>50</v>
      </c>
      <c r="F48" s="126" t="n">
        <v>170</v>
      </c>
      <c r="G48" s="126" t="n">
        <v>120</v>
      </c>
    </row>
    <row r="49">
      <c r="A49" t="n">
        <v>48</v>
      </c>
      <c r="B49" t="inlineStr">
        <is>
          <t>Ear Plug</t>
        </is>
      </c>
      <c r="C49" s="127" t="n">
        <v>20</v>
      </c>
      <c r="D49" s="127" t="n">
        <v>8</v>
      </c>
      <c r="E49" s="127" t="n">
        <v>60</v>
      </c>
      <c r="F49" s="127" t="n">
        <v>220</v>
      </c>
      <c r="G49" s="127" t="n">
        <v>160</v>
      </c>
    </row>
    <row r="50">
      <c r="A50" s="125" t="n">
        <v>49</v>
      </c>
      <c r="B50" s="125" t="inlineStr">
        <is>
          <t>Ear Plug</t>
        </is>
      </c>
      <c r="C50" s="126" t="n">
        <v>1</v>
      </c>
      <c r="D50" s="126" t="n">
        <v>22</v>
      </c>
      <c r="E50" s="126" t="n">
        <v>25</v>
      </c>
      <c r="F50" s="126" t="n">
        <v>47</v>
      </c>
      <c r="G50" s="126" t="n">
        <v>22</v>
      </c>
    </row>
    <row r="51">
      <c r="A51" t="n">
        <v>50</v>
      </c>
      <c r="B51" t="inlineStr">
        <is>
          <t>Ear Plug</t>
        </is>
      </c>
      <c r="C51" s="127" t="n">
        <v>2</v>
      </c>
      <c r="D51" s="127" t="n">
        <v>22</v>
      </c>
      <c r="E51" s="127" t="n">
        <v>50</v>
      </c>
      <c r="F51" s="127" t="n">
        <v>94</v>
      </c>
      <c r="G51" s="127" t="n">
        <v>44</v>
      </c>
    </row>
    <row r="52">
      <c r="A52" s="125" t="n">
        <v>51</v>
      </c>
      <c r="B52" s="125" t="inlineStr">
        <is>
          <t>Ear Plug</t>
        </is>
      </c>
      <c r="C52" s="126" t="n">
        <v>3</v>
      </c>
      <c r="D52" s="126" t="n">
        <v>22</v>
      </c>
      <c r="E52" s="126" t="n">
        <v>60</v>
      </c>
      <c r="F52" s="126" t="n">
        <v>126</v>
      </c>
      <c r="G52" s="126" t="n">
        <v>66</v>
      </c>
    </row>
    <row r="53">
      <c r="A53" t="n">
        <v>52</v>
      </c>
      <c r="B53" t="inlineStr">
        <is>
          <t>Gloves</t>
        </is>
      </c>
      <c r="C53" s="127" t="n">
        <v>1</v>
      </c>
      <c r="D53" s="127" t="n">
        <v>57</v>
      </c>
      <c r="E53" s="127" t="n">
        <v>59</v>
      </c>
      <c r="F53" s="127" t="n">
        <v>116</v>
      </c>
      <c r="G53" s="127" t="n">
        <v>57</v>
      </c>
    </row>
    <row r="54">
      <c r="A54" s="125" t="n">
        <v>53</v>
      </c>
      <c r="B54" s="125" t="inlineStr">
        <is>
          <t>Gloves</t>
        </is>
      </c>
      <c r="C54" s="126" t="n">
        <v>5</v>
      </c>
      <c r="D54" s="126" t="n">
        <v>17</v>
      </c>
      <c r="E54" s="126" t="n">
        <v>63</v>
      </c>
      <c r="F54" s="126" t="n">
        <v>148</v>
      </c>
      <c r="G54" s="126" t="n">
        <v>85</v>
      </c>
    </row>
    <row r="55">
      <c r="A55" t="n">
        <v>54</v>
      </c>
      <c r="B55" t="inlineStr">
        <is>
          <t>Gloves</t>
        </is>
      </c>
      <c r="C55" s="127" t="n">
        <v>10</v>
      </c>
      <c r="D55" s="127" t="n">
        <v>17</v>
      </c>
      <c r="E55" s="127" t="n">
        <v>45</v>
      </c>
      <c r="F55" s="127" t="n">
        <v>215</v>
      </c>
      <c r="G55" s="127" t="n">
        <v>170</v>
      </c>
    </row>
    <row r="56">
      <c r="A56" s="125" t="n">
        <v>55</v>
      </c>
      <c r="B56" s="125" t="inlineStr">
        <is>
          <t>Gloves</t>
        </is>
      </c>
      <c r="C56" s="126" t="n">
        <v>15</v>
      </c>
      <c r="D56" s="126" t="n">
        <v>17</v>
      </c>
      <c r="E56" s="126" t="n">
        <v>76</v>
      </c>
      <c r="F56" s="126" t="n">
        <v>331</v>
      </c>
      <c r="G56" s="126" t="n">
        <v>255</v>
      </c>
    </row>
    <row r="57">
      <c r="A57" t="n">
        <v>56</v>
      </c>
      <c r="B57" t="inlineStr">
        <is>
          <t>Gloves</t>
        </is>
      </c>
      <c r="C57" s="127" t="n">
        <v>20</v>
      </c>
      <c r="D57" s="127" t="n">
        <v>17</v>
      </c>
      <c r="E57" s="127" t="n">
        <v>107</v>
      </c>
      <c r="F57" s="127" t="n">
        <v>447</v>
      </c>
      <c r="G57" s="127" t="n">
        <v>340</v>
      </c>
    </row>
    <row r="58">
      <c r="A58" s="125" t="n">
        <v>57</v>
      </c>
      <c r="B58" s="125" t="inlineStr">
        <is>
          <t>Massager</t>
        </is>
      </c>
      <c r="C58" s="126" t="n">
        <v>1</v>
      </c>
      <c r="D58" s="126" t="n">
        <v>57</v>
      </c>
      <c r="E58" s="126" t="n">
        <v>26</v>
      </c>
      <c r="F58" s="126" t="n">
        <v>83</v>
      </c>
      <c r="G58" s="126" t="n">
        <v>57</v>
      </c>
    </row>
    <row r="59">
      <c r="A59" t="n">
        <v>58</v>
      </c>
      <c r="B59" t="inlineStr">
        <is>
          <t>Massager</t>
        </is>
      </c>
      <c r="C59" s="127" t="n">
        <v>1</v>
      </c>
      <c r="D59" s="127" t="n">
        <v>30</v>
      </c>
      <c r="E59" s="127" t="n">
        <v>34</v>
      </c>
      <c r="F59" s="127" t="n">
        <v>64</v>
      </c>
      <c r="G59" s="127" t="n">
        <v>30</v>
      </c>
    </row>
    <row r="60">
      <c r="A60" s="125" t="n">
        <v>59</v>
      </c>
      <c r="B60" s="125" t="inlineStr">
        <is>
          <t>Massager</t>
        </is>
      </c>
      <c r="C60" s="126" t="n">
        <v>2</v>
      </c>
      <c r="D60" s="126" t="n">
        <v>30</v>
      </c>
      <c r="E60" s="126" t="n">
        <v>34</v>
      </c>
      <c r="F60" s="126" t="n">
        <v>94</v>
      </c>
      <c r="G60" s="126" t="n">
        <v>60</v>
      </c>
    </row>
    <row r="61">
      <c r="A61" t="n">
        <v>60</v>
      </c>
      <c r="B61" t="inlineStr">
        <is>
          <t>Massager</t>
        </is>
      </c>
      <c r="C61" s="127" t="n">
        <v>1</v>
      </c>
      <c r="D61" s="127" t="n">
        <v>32</v>
      </c>
      <c r="E61" s="127" t="n">
        <v>34</v>
      </c>
      <c r="F61" s="127" t="n">
        <v>66</v>
      </c>
      <c r="G61" s="127" t="n">
        <v>32</v>
      </c>
    </row>
    <row r="62">
      <c r="A62" s="125" t="n">
        <v>61</v>
      </c>
      <c r="B62" s="125" t="inlineStr">
        <is>
          <t>Massager</t>
        </is>
      </c>
      <c r="C62" s="126" t="n">
        <v>2</v>
      </c>
      <c r="D62" s="126" t="n">
        <v>32</v>
      </c>
      <c r="E62" s="126" t="n">
        <v>34</v>
      </c>
      <c r="F62" s="126" t="n">
        <v>98</v>
      </c>
      <c r="G62" s="126" t="n">
        <v>64</v>
      </c>
    </row>
    <row r="63">
      <c r="A63" t="n">
        <v>62</v>
      </c>
      <c r="B63" t="inlineStr">
        <is>
          <t>Massager</t>
        </is>
      </c>
      <c r="C63" s="127" t="n">
        <v>1</v>
      </c>
      <c r="D63" s="127" t="n">
        <v>9</v>
      </c>
      <c r="E63" s="127" t="n">
        <v>25</v>
      </c>
      <c r="F63" s="127" t="n">
        <v>34</v>
      </c>
      <c r="G63" s="127" t="n">
        <v>9</v>
      </c>
    </row>
    <row r="64">
      <c r="A64" s="125" t="n">
        <v>63</v>
      </c>
      <c r="B64" s="125" t="inlineStr">
        <is>
          <t>Massager</t>
        </is>
      </c>
      <c r="C64" s="126" t="n">
        <v>2</v>
      </c>
      <c r="D64" s="126" t="n">
        <v>9</v>
      </c>
      <c r="E64" s="126" t="n">
        <v>24</v>
      </c>
      <c r="F64" s="126" t="n">
        <v>42</v>
      </c>
      <c r="G64" s="126" t="n">
        <v>18</v>
      </c>
    </row>
    <row r="65">
      <c r="A65" t="n">
        <v>64</v>
      </c>
      <c r="B65" t="inlineStr">
        <is>
          <t>Massager</t>
        </is>
      </c>
      <c r="C65" s="127" t="n">
        <v>3</v>
      </c>
      <c r="D65" s="127" t="n">
        <v>9</v>
      </c>
      <c r="E65" s="127" t="n">
        <v>24</v>
      </c>
      <c r="F65" s="127" t="n">
        <v>51</v>
      </c>
      <c r="G65" s="127" t="n">
        <v>27</v>
      </c>
    </row>
    <row r="66">
      <c r="A66" s="125" t="n">
        <v>65</v>
      </c>
      <c r="B66" s="125" t="inlineStr">
        <is>
          <t>Magic Book</t>
        </is>
      </c>
      <c r="C66" s="126" t="n">
        <v>1</v>
      </c>
      <c r="D66" s="126" t="n">
        <v>45</v>
      </c>
      <c r="E66" s="126" t="n">
        <v>32</v>
      </c>
      <c r="F66" s="126" t="n">
        <v>77</v>
      </c>
      <c r="G66" s="126" t="n">
        <v>45</v>
      </c>
    </row>
    <row r="67">
      <c r="A67" t="n">
        <v>66</v>
      </c>
      <c r="B67" t="inlineStr">
        <is>
          <t>Magic Book</t>
        </is>
      </c>
      <c r="C67" s="127" t="n">
        <v>1</v>
      </c>
      <c r="D67" s="127" t="n">
        <v>45</v>
      </c>
      <c r="E67" s="127" t="n">
        <v>36</v>
      </c>
      <c r="F67" s="127" t="n">
        <v>81</v>
      </c>
      <c r="G67" s="127" t="n">
        <v>45</v>
      </c>
    </row>
    <row r="68">
      <c r="A68" s="125" t="n">
        <v>67</v>
      </c>
      <c r="B68" s="125" t="inlineStr">
        <is>
          <t>Magic Book</t>
        </is>
      </c>
      <c r="C68" s="126" t="n">
        <v>1</v>
      </c>
      <c r="D68" s="126" t="n">
        <v>45</v>
      </c>
      <c r="E68" s="126" t="n">
        <v>40</v>
      </c>
      <c r="F68" s="126" t="n">
        <v>85</v>
      </c>
      <c r="G68" s="126" t="n">
        <v>45</v>
      </c>
    </row>
    <row r="69">
      <c r="A69" t="n">
        <v>68</v>
      </c>
      <c r="B69" t="inlineStr">
        <is>
          <t>Nano</t>
        </is>
      </c>
      <c r="C69" s="127" t="n">
        <v>1</v>
      </c>
      <c r="D69" s="127" t="n">
        <v>37</v>
      </c>
      <c r="E69" s="127" t="n">
        <v>25</v>
      </c>
      <c r="F69" s="127" t="n">
        <v>62</v>
      </c>
      <c r="G69" s="127" t="n">
        <v>37</v>
      </c>
    </row>
    <row r="70">
      <c r="A70" s="125" t="n">
        <v>69</v>
      </c>
      <c r="B70" s="125" t="inlineStr">
        <is>
          <t>Nano</t>
        </is>
      </c>
      <c r="C70" s="126" t="n">
        <v>1</v>
      </c>
      <c r="D70" s="126" t="n">
        <v>100</v>
      </c>
      <c r="E70" s="126" t="n">
        <v>51</v>
      </c>
      <c r="F70" s="126" t="n">
        <v>151</v>
      </c>
      <c r="G70" s="126" t="n">
        <v>100</v>
      </c>
    </row>
    <row r="71">
      <c r="A71" t="n">
        <v>70</v>
      </c>
      <c r="B71" t="inlineStr">
        <is>
          <t>Nano</t>
        </is>
      </c>
      <c r="C71" s="127" t="n">
        <v>1</v>
      </c>
      <c r="D71" s="127" t="n">
        <v>130</v>
      </c>
      <c r="E71" s="127" t="n">
        <v>52</v>
      </c>
      <c r="F71" s="127" t="n">
        <v>182</v>
      </c>
      <c r="G71" s="127" t="n">
        <v>130</v>
      </c>
    </row>
    <row r="72">
      <c r="A72" s="125" t="n">
        <v>71</v>
      </c>
      <c r="B72" s="125" t="inlineStr">
        <is>
          <t>CAP</t>
        </is>
      </c>
      <c r="C72" s="126" t="n">
        <v>20</v>
      </c>
      <c r="D72" s="126" t="n">
        <v>0.42</v>
      </c>
      <c r="E72" s="126" t="n">
        <v>32</v>
      </c>
      <c r="F72" s="126" t="n">
        <v>40.4</v>
      </c>
      <c r="G72" s="126" t="n">
        <v>8.4</v>
      </c>
    </row>
    <row r="73">
      <c r="A73" t="n">
        <v>72</v>
      </c>
      <c r="B73" t="inlineStr">
        <is>
          <t>CAP</t>
        </is>
      </c>
      <c r="C73" s="127" t="n">
        <v>50</v>
      </c>
      <c r="D73" s="127" t="n">
        <v>0.42</v>
      </c>
      <c r="E73" s="127" t="n">
        <v>32</v>
      </c>
      <c r="F73" s="127" t="n">
        <v>53</v>
      </c>
      <c r="G73" s="127" t="n">
        <v>21</v>
      </c>
    </row>
    <row r="74">
      <c r="A74" s="125" t="n">
        <v>73</v>
      </c>
      <c r="B74" s="125" t="inlineStr">
        <is>
          <t>CAP</t>
        </is>
      </c>
      <c r="C74" s="126" t="n">
        <v>100</v>
      </c>
      <c r="D74" s="126" t="n">
        <v>0.42</v>
      </c>
      <c r="E74" s="126" t="n">
        <v>32</v>
      </c>
      <c r="F74" s="126" t="n">
        <v>74</v>
      </c>
      <c r="G74" s="126" t="n">
        <v>42</v>
      </c>
    </row>
    <row r="75">
      <c r="A75" t="n">
        <v>74</v>
      </c>
      <c r="B75" t="inlineStr">
        <is>
          <t>CAP</t>
        </is>
      </c>
      <c r="C75" s="127" t="n">
        <v>200</v>
      </c>
      <c r="D75" s="127" t="n">
        <v>0.42</v>
      </c>
      <c r="E75" s="127" t="n">
        <v>53</v>
      </c>
      <c r="F75" s="127" t="n">
        <v>137</v>
      </c>
      <c r="G75" s="127" t="n">
        <v>84</v>
      </c>
    </row>
    <row r="76">
      <c r="A76" s="125" t="n">
        <v>75</v>
      </c>
      <c r="B76" s="125" t="inlineStr">
        <is>
          <t>CAP</t>
        </is>
      </c>
      <c r="C76" s="126" t="n">
        <v>300</v>
      </c>
      <c r="D76" s="126" t="n">
        <v>0.42</v>
      </c>
      <c r="E76" s="126" t="n">
        <v>63</v>
      </c>
      <c r="F76" s="126" t="n">
        <v>189</v>
      </c>
      <c r="G76" s="126" t="n">
        <v>126</v>
      </c>
    </row>
    <row r="77">
      <c r="A77" t="n">
        <v>76</v>
      </c>
      <c r="B77" t="inlineStr">
        <is>
          <t>CAP</t>
        </is>
      </c>
      <c r="C77" s="127" t="n">
        <v>400</v>
      </c>
      <c r="D77" s="127" t="n">
        <v>0.42</v>
      </c>
      <c r="E77" s="127" t="n">
        <v>74</v>
      </c>
      <c r="F77" s="127" t="n">
        <v>242</v>
      </c>
      <c r="G77" s="127" t="n">
        <v>168</v>
      </c>
    </row>
    <row r="78">
      <c r="A78" s="125" t="n">
        <v>77</v>
      </c>
      <c r="B78" s="125" t="inlineStr">
        <is>
          <t>CAP</t>
        </is>
      </c>
      <c r="C78" s="126" t="n">
        <v>500</v>
      </c>
      <c r="D78" s="126" t="n">
        <v>0.42</v>
      </c>
      <c r="E78" s="126" t="n">
        <v>85</v>
      </c>
      <c r="F78" s="126" t="n">
        <v>295</v>
      </c>
      <c r="G78" s="126" t="n">
        <v>210</v>
      </c>
    </row>
    <row r="79">
      <c r="A79" t="n">
        <v>78</v>
      </c>
      <c r="B79" t="inlineStr">
        <is>
          <t>CAP</t>
        </is>
      </c>
      <c r="C79" s="127" t="n">
        <v>1000</v>
      </c>
      <c r="D79" s="127" t="n">
        <v>0.42</v>
      </c>
      <c r="E79" s="127" t="n">
        <v>97</v>
      </c>
      <c r="F79" s="127" t="n">
        <v>517</v>
      </c>
      <c r="G79" s="127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topLeftCell="A10" workbookViewId="0">
      <selection activeCell="D24" sqref="D24"/>
    </sheetView>
  </sheetViews>
  <sheetFormatPr baseColWidth="8" defaultColWidth="8.76171875" defaultRowHeight="12.75"/>
  <cols>
    <col width="8.76171875" customWidth="1" style="12" min="1" max="1"/>
    <col width="52.3203125" customWidth="1" style="12" min="2" max="2"/>
    <col width="11.4609375" bestFit="1" customWidth="1" style="12" min="3" max="4"/>
    <col width="10.515625" customWidth="1" style="12" min="5" max="5"/>
    <col width="15.5078125" bestFit="1" customWidth="1" style="12" min="6" max="6"/>
    <col width="19.41796875" bestFit="1" customWidth="1" style="12" min="7" max="7"/>
    <col width="11.73046875" bestFit="1" customWidth="1" style="12" min="8" max="8"/>
    <col width="8.76171875" customWidth="1" style="12" min="9" max="16384"/>
  </cols>
  <sheetData>
    <row r="1" ht="20.25" customFormat="1" customHeight="1" s="89">
      <c r="A1" s="88" t="inlineStr">
        <is>
          <t>S.No.</t>
        </is>
      </c>
      <c r="B1" s="88" t="inlineStr">
        <is>
          <t>Product Name</t>
        </is>
      </c>
      <c r="C1" s="88" t="inlineStr">
        <is>
          <t>HSN</t>
        </is>
      </c>
      <c r="D1" s="88" t="n"/>
      <c r="E1" s="88" t="n"/>
      <c r="F1" s="88" t="inlineStr">
        <is>
          <t>Gst Rate</t>
        </is>
      </c>
      <c r="G1" s="88" t="inlineStr">
        <is>
          <t>GST Portal</t>
        </is>
      </c>
      <c r="H1" s="88" t="n"/>
    </row>
    <row r="2" ht="14.25" customHeight="1">
      <c r="A2" s="31" t="n"/>
      <c r="B2" s="31" t="inlineStr">
        <is>
          <t>Nylon Gloves/Silicon</t>
        </is>
      </c>
      <c r="C2" s="31" t="n">
        <v>61161000</v>
      </c>
      <c r="D2" s="31" t="n"/>
      <c r="E2" s="31" t="n"/>
      <c r="F2" s="31" t="n">
        <v>5</v>
      </c>
      <c r="G2" s="21" t="n">
        <v>6116</v>
      </c>
      <c r="H2" s="86" t="inlineStr">
        <is>
          <t>Sports</t>
        </is>
      </c>
    </row>
    <row r="3" ht="14.25" customHeight="1">
      <c r="A3" s="31" t="n"/>
      <c r="B3" s="31" t="inlineStr">
        <is>
          <t>Nylon Gloves</t>
        </is>
      </c>
      <c r="C3" s="31" t="n">
        <v>42032910</v>
      </c>
      <c r="D3" s="31" t="n"/>
      <c r="E3" s="31" t="n"/>
      <c r="F3" s="31" t="n">
        <v>18</v>
      </c>
      <c r="G3" s="21" t="n">
        <v>4203</v>
      </c>
      <c r="H3" s="86" t="inlineStr">
        <is>
          <t>Industrial</t>
        </is>
      </c>
    </row>
    <row r="4" ht="14.25" customHeight="1">
      <c r="A4" s="31" t="n"/>
      <c r="B4" s="31" t="inlineStr">
        <is>
          <t>Surgical Cap</t>
        </is>
      </c>
      <c r="C4" s="31" t="n">
        <v>401511</v>
      </c>
      <c r="D4" s="31" t="n">
        <v>90189029</v>
      </c>
      <c r="E4" s="31" t="n"/>
      <c r="F4" s="31" t="n">
        <v>12</v>
      </c>
      <c r="G4" s="86" t="inlineStr">
        <is>
          <t>4015/9018</t>
        </is>
      </c>
      <c r="H4" s="86" t="inlineStr">
        <is>
          <t>Surgical</t>
        </is>
      </c>
    </row>
    <row r="5" ht="14.25" customHeight="1">
      <c r="A5" s="31" t="n"/>
      <c r="B5" s="31" t="inlineStr">
        <is>
          <t>Cap</t>
        </is>
      </c>
      <c r="C5" s="31" t="n">
        <v>6501</v>
      </c>
      <c r="D5" s="31" t="n"/>
      <c r="E5" s="31" t="n"/>
      <c r="F5" s="31" t="n">
        <v>5</v>
      </c>
      <c r="G5" s="21" t="n">
        <v>6501</v>
      </c>
      <c r="H5" s="86" t="inlineStr">
        <is>
          <t>Other</t>
        </is>
      </c>
    </row>
    <row r="6" ht="30" customHeight="1">
      <c r="A6" s="31" t="n"/>
      <c r="B6" s="79" t="inlineStr">
        <is>
          <t>Velvet/Electric/Ice Bag/Rubber Hot Water Bag</t>
        </is>
      </c>
      <c r="C6" s="31" t="n">
        <v>90189099</v>
      </c>
      <c r="D6" s="31" t="n"/>
      <c r="E6" s="31" t="n"/>
      <c r="F6" s="31" t="n">
        <v>12</v>
      </c>
      <c r="G6" s="21" t="n">
        <v>9018</v>
      </c>
      <c r="H6" s="86" t="inlineStr">
        <is>
          <t>Medical</t>
        </is>
      </c>
    </row>
    <row r="7" ht="30.6" customHeight="1">
      <c r="A7" s="31" t="n"/>
      <c r="B7" s="79" t="inlineStr">
        <is>
          <t>Velvet/Electric/Ice Bag/Rubber Hot Water Bag</t>
        </is>
      </c>
      <c r="C7" s="31" t="n">
        <v>8516</v>
      </c>
      <c r="D7" s="31" t="n">
        <v>401490</v>
      </c>
      <c r="E7" s="31" t="n"/>
      <c r="F7" s="31" t="n">
        <v>18</v>
      </c>
      <c r="G7" s="86" t="inlineStr">
        <is>
          <t>8516/4014</t>
        </is>
      </c>
      <c r="H7" s="86" t="n">
        <v>851629</v>
      </c>
    </row>
    <row r="8" ht="14.25" customHeight="1">
      <c r="A8" s="31" t="n"/>
      <c r="B8" s="31" t="inlineStr">
        <is>
          <t>Heel Pad/Foot pad</t>
        </is>
      </c>
      <c r="C8" s="31" t="n">
        <v>64069090</v>
      </c>
      <c r="D8" s="31" t="n"/>
      <c r="E8" s="31" t="n"/>
      <c r="F8" s="31" t="n">
        <v>18</v>
      </c>
      <c r="G8" s="21" t="n">
        <v>6406</v>
      </c>
      <c r="H8" s="86" t="inlineStr">
        <is>
          <t>Shoes</t>
        </is>
      </c>
    </row>
    <row r="9" ht="14.25" customHeight="1">
      <c r="A9" s="31" t="n"/>
      <c r="B9" s="31" t="inlineStr">
        <is>
          <t>Tooth Brush</t>
        </is>
      </c>
      <c r="C9" s="31" t="n">
        <v>960321</v>
      </c>
      <c r="D9" s="31" t="n"/>
      <c r="E9" s="31" t="n"/>
      <c r="F9" s="31" t="n">
        <v>18</v>
      </c>
      <c r="G9" s="21" t="n">
        <v>9603</v>
      </c>
      <c r="H9" s="21" t="n"/>
    </row>
    <row r="10" ht="14.25" customHeight="1">
      <c r="A10" s="31" t="n"/>
      <c r="B10" s="31" t="inlineStr">
        <is>
          <t>Kitchen Wire Brush/Tooth Brush</t>
        </is>
      </c>
      <c r="C10" s="31" t="n">
        <v>96032900</v>
      </c>
      <c r="D10" s="31" t="n">
        <v>960390</v>
      </c>
      <c r="E10" s="31" t="n">
        <v>960310</v>
      </c>
      <c r="F10" s="31" t="n">
        <v>18</v>
      </c>
      <c r="G10" s="21" t="n">
        <v>9603</v>
      </c>
      <c r="H10" s="21" t="n"/>
    </row>
    <row r="11" ht="14.25" customHeight="1">
      <c r="A11" s="31" t="n"/>
      <c r="B11" s="31" t="inlineStr">
        <is>
          <t>Nano Tape</t>
        </is>
      </c>
      <c r="C11" s="31" t="n">
        <v>39199090</v>
      </c>
      <c r="D11" s="31" t="n"/>
      <c r="E11" s="31" t="n"/>
      <c r="F11" s="31" t="n">
        <v>18</v>
      </c>
      <c r="G11" s="21" t="n">
        <v>3919</v>
      </c>
      <c r="H11" s="21" t="n"/>
    </row>
    <row r="12" ht="14.25" customHeight="1">
      <c r="A12" s="31" t="n"/>
      <c r="B12" s="31" t="inlineStr">
        <is>
          <t>3D Massager/ Scalp Massager</t>
        </is>
      </c>
      <c r="C12" s="31" t="n">
        <v>901910</v>
      </c>
      <c r="D12" s="31" t="n">
        <v>90191020</v>
      </c>
      <c r="E12" s="31" t="n"/>
      <c r="F12" s="31" t="n">
        <v>12</v>
      </c>
      <c r="G12" s="21" t="n">
        <v>9019</v>
      </c>
      <c r="H12" s="21" t="n"/>
    </row>
    <row r="13" ht="14.25" customFormat="1" customHeight="1" s="13">
      <c r="A13" s="32" t="n"/>
      <c r="B13" s="32" t="inlineStr">
        <is>
          <t>Mask</t>
        </is>
      </c>
      <c r="C13" s="32" t="n">
        <v>63079090</v>
      </c>
      <c r="D13" s="32" t="n"/>
      <c r="E13" s="32" t="n"/>
      <c r="F13" s="32" t="n">
        <v>5</v>
      </c>
      <c r="G13" s="22" t="n">
        <v>6307</v>
      </c>
      <c r="H13" s="22" t="n"/>
    </row>
    <row r="14" ht="14.25" customFormat="1" customHeight="1" s="13">
      <c r="A14" s="32" t="n"/>
      <c r="B14" s="32" t="inlineStr">
        <is>
          <t>Mask</t>
        </is>
      </c>
      <c r="C14" s="32" t="n">
        <v>9020</v>
      </c>
      <c r="D14" s="32" t="n"/>
      <c r="E14" s="32" t="n"/>
      <c r="F14" s="32" t="n">
        <v>5</v>
      </c>
      <c r="G14" s="22" t="n">
        <v>9020</v>
      </c>
      <c r="H14" s="22" t="n"/>
    </row>
    <row r="15" ht="14.25" customHeight="1">
      <c r="A15" s="31" t="n"/>
      <c r="B15" s="31" t="inlineStr">
        <is>
          <t>Heel Pad/Foot pad</t>
        </is>
      </c>
      <c r="C15" s="31" t="n">
        <v>611596</v>
      </c>
      <c r="D15" s="31" t="n"/>
      <c r="E15" s="31" t="n"/>
      <c r="F15" s="31" t="n">
        <v>12</v>
      </c>
      <c r="G15" s="21" t="n">
        <v>6115</v>
      </c>
      <c r="H15" s="86" t="inlineStr">
        <is>
          <t>women socks</t>
        </is>
      </c>
    </row>
    <row r="16" ht="14.25" customHeight="1">
      <c r="A16" s="31" t="n"/>
      <c r="B16" s="31" t="inlineStr">
        <is>
          <t>Baby Knee Socks</t>
        </is>
      </c>
      <c r="C16" s="31" t="n">
        <v>6209</v>
      </c>
      <c r="D16" s="31" t="n"/>
      <c r="E16" s="31" t="n"/>
      <c r="F16" s="31" t="n">
        <v>5</v>
      </c>
      <c r="G16" s="21" t="n">
        <v>6209</v>
      </c>
      <c r="H16" s="21" t="n"/>
    </row>
    <row r="17" ht="14.25" customHeight="1">
      <c r="A17" s="31" t="n"/>
      <c r="B17" s="31" t="inlineStr">
        <is>
          <t>Baby Knee Socks/Heel Pad</t>
        </is>
      </c>
      <c r="C17" s="31" t="n">
        <v>611599</v>
      </c>
      <c r="D17" s="31" t="n"/>
      <c r="E17" s="31" t="n"/>
      <c r="F17" s="31" t="n">
        <v>5</v>
      </c>
      <c r="G17" s="21" t="n">
        <v>6115</v>
      </c>
      <c r="H17" s="21" t="n"/>
    </row>
    <row r="18" ht="14.25" customHeight="1">
      <c r="A18" s="31" t="n"/>
      <c r="B18" s="31" t="inlineStr">
        <is>
          <t>Ear Plugs</t>
        </is>
      </c>
      <c r="C18" s="31" t="n">
        <v>4016</v>
      </c>
      <c r="D18" s="31" t="n"/>
      <c r="E18" s="31" t="n"/>
      <c r="F18" s="31" t="n">
        <v>18</v>
      </c>
      <c r="G18" s="21" t="n">
        <v>4016</v>
      </c>
      <c r="H18" s="21" t="n"/>
    </row>
    <row r="19" ht="14.25" customHeight="1">
      <c r="A19" s="31" t="n"/>
      <c r="B19" s="31" t="inlineStr">
        <is>
          <t>Coloring Book</t>
        </is>
      </c>
      <c r="C19" s="31" t="n">
        <v>490300</v>
      </c>
      <c r="D19" s="31" t="n"/>
      <c r="E19" s="31" t="n"/>
      <c r="F19" s="31" t="n">
        <v>0</v>
      </c>
      <c r="G19" s="21" t="n">
        <v>4903</v>
      </c>
      <c r="H19" s="21" t="n"/>
    </row>
    <row r="20" ht="14.25" customHeight="1">
      <c r="A20" s="31" t="n"/>
      <c r="B20" s="31" t="inlineStr">
        <is>
          <t>Drawing Book</t>
        </is>
      </c>
      <c r="C20" s="31" t="n">
        <v>490110</v>
      </c>
      <c r="D20" s="31" t="n"/>
      <c r="E20" s="31" t="n"/>
      <c r="F20" s="31" t="n">
        <v>5</v>
      </c>
      <c r="G20" s="21" t="n">
        <v>4901</v>
      </c>
      <c r="H20" s="21" t="n"/>
    </row>
    <row r="21" ht="14.25" customFormat="1" customHeight="1" s="13">
      <c r="A21" s="32" t="n"/>
      <c r="B21" s="32" t="inlineStr">
        <is>
          <t>Magic Book</t>
        </is>
      </c>
      <c r="C21" s="32" t="n">
        <v>482020</v>
      </c>
      <c r="D21" s="32" t="n">
        <v>482090</v>
      </c>
      <c r="E21" s="32" t="n"/>
      <c r="F21" s="32" t="n">
        <v>0</v>
      </c>
      <c r="G21" s="22" t="n">
        <v>4820</v>
      </c>
      <c r="H21" s="22" t="n"/>
    </row>
    <row r="22" ht="14.25" customHeight="1">
      <c r="A22" s="31" t="n"/>
      <c r="B22" s="31" t="inlineStr">
        <is>
          <t>Adhesive Tape</t>
        </is>
      </c>
      <c r="C22" s="31" t="n">
        <v>391910</v>
      </c>
      <c r="D22" s="31" t="n"/>
      <c r="E22" s="31" t="n"/>
      <c r="F22" s="31" t="n">
        <v>18</v>
      </c>
      <c r="G22" s="21" t="n">
        <v>3919</v>
      </c>
      <c r="H22" s="21" t="n"/>
    </row>
    <row r="23" ht="14.25" customHeight="1">
      <c r="A23" s="31" t="n"/>
      <c r="B23" s="31" t="inlineStr">
        <is>
          <t>Ear Cleaner + Flashlight</t>
        </is>
      </c>
      <c r="C23" s="31" t="n">
        <v>3926</v>
      </c>
      <c r="D23" s="31" t="n"/>
      <c r="E23" s="31" t="n"/>
      <c r="F23" s="31" t="n">
        <v>18</v>
      </c>
      <c r="G23" s="21" t="n">
        <v>3926</v>
      </c>
      <c r="H23" s="21" t="inlineStr">
        <is>
          <t>39269099aa</t>
        </is>
      </c>
    </row>
    <row r="24" ht="14.25" customFormat="1" customHeight="1" s="87">
      <c r="A24" s="31" t="n"/>
      <c r="B24" s="31" t="inlineStr">
        <is>
          <t>Kids Safety cover</t>
        </is>
      </c>
      <c r="C24" s="31" t="n">
        <v>39239090</v>
      </c>
      <c r="D24" s="31" t="n">
        <v>87150020</v>
      </c>
      <c r="E24" s="31" t="n"/>
      <c r="F24" s="31" t="n">
        <v>18</v>
      </c>
      <c r="G24" s="31" t="n">
        <v>3923</v>
      </c>
      <c r="H24" s="31" t="n">
        <v>392690</v>
      </c>
    </row>
    <row r="25" ht="14.25" customFormat="1" customHeight="1" s="87">
      <c r="A25" s="31" t="n"/>
      <c r="B25" s="31" t="inlineStr">
        <is>
          <t>Silicone Funnel</t>
        </is>
      </c>
      <c r="C25" s="31" t="n">
        <v>39269099</v>
      </c>
      <c r="D25" s="31" t="n"/>
      <c r="E25" s="31" t="n"/>
      <c r="F25" s="31" t="n">
        <v>18</v>
      </c>
      <c r="G25" s="31" t="n"/>
      <c r="H25" s="31" t="n"/>
    </row>
    <row r="26" ht="14.25" customFormat="1" customHeight="1" s="93">
      <c r="A26" s="32" t="n"/>
      <c r="B26" s="32" t="inlineStr">
        <is>
          <t>Face Roller</t>
        </is>
      </c>
      <c r="C26" s="32" t="n">
        <v>901910</v>
      </c>
      <c r="D26" s="32" t="n"/>
      <c r="E26" s="32" t="n"/>
      <c r="F26" s="32" t="n">
        <v>5</v>
      </c>
      <c r="G26" s="32" t="n">
        <v>9019</v>
      </c>
      <c r="H26" s="3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zoomScaleNormal="100" workbookViewId="0">
      <pane ySplit="1" topLeftCell="A31" activePane="bottomLeft" state="frozen"/>
      <selection pane="bottomLeft" activeCell="K38" sqref="K38"/>
    </sheetView>
  </sheetViews>
  <sheetFormatPr baseColWidth="8" defaultColWidth="11.59375" defaultRowHeight="12.75"/>
  <cols>
    <col width="11.59375" customWidth="1" style="21" min="1" max="1"/>
    <col width="6.60546875" bestFit="1" customWidth="1" style="14" min="2" max="2"/>
    <col width="8.76171875" bestFit="1" customWidth="1" style="14" min="3" max="3"/>
    <col width="17.39453125" bestFit="1" customWidth="1" style="14" min="4" max="4"/>
    <col width="15.77734375" bestFit="1" customWidth="1" style="14" min="5" max="5"/>
    <col width="16.31640625" bestFit="1" customWidth="1" style="82" min="6" max="6"/>
    <col width="21.44140625" bestFit="1" customWidth="1" style="83" min="7" max="7"/>
    <col width="14.29296875" bestFit="1" customWidth="1" style="14" min="8" max="8"/>
    <col width="14.29296875" customWidth="1" style="14" min="9" max="9"/>
    <col width="12.80859375" bestFit="1" customWidth="1" style="14" min="10" max="10"/>
    <col width="12.80859375" customWidth="1" style="14" min="11" max="11"/>
    <col width="10.515625" bestFit="1" customWidth="1" style="83" min="12" max="12"/>
    <col width="12.5390625" bestFit="1" customWidth="1" style="81" min="13" max="13"/>
    <col width="11.59375" customWidth="1" style="81" min="14" max="18"/>
    <col width="11.59375" customWidth="1" style="14" min="19" max="16384"/>
  </cols>
  <sheetData>
    <row r="1" ht="41.1" customFormat="1" customHeight="1" s="19">
      <c r="A1" s="17" t="inlineStr">
        <is>
          <t>S. No.</t>
        </is>
      </c>
      <c r="B1" s="20" t="inlineStr">
        <is>
          <t>Year</t>
        </is>
      </c>
      <c r="C1" s="17" t="inlineStr">
        <is>
          <t>Month</t>
        </is>
      </c>
      <c r="D1" s="17" t="inlineStr">
        <is>
          <t>Shree Orders</t>
        </is>
      </c>
      <c r="E1" s="17" t="inlineStr">
        <is>
          <t>SMN Orders</t>
        </is>
      </c>
      <c r="F1" s="17" t="inlineStr">
        <is>
          <t>Total Orders</t>
        </is>
      </c>
      <c r="G1" s="18" t="inlineStr">
        <is>
          <t>Total Revenue</t>
        </is>
      </c>
      <c r="H1" s="18" t="inlineStr">
        <is>
          <t>Ads Spend Shree</t>
        </is>
      </c>
      <c r="I1" s="18" t="inlineStr">
        <is>
          <t>Ads Spend SMN</t>
        </is>
      </c>
      <c r="J1" s="18" t="inlineStr">
        <is>
          <t>Expenses</t>
        </is>
      </c>
      <c r="K1" s="18" t="inlineStr">
        <is>
          <t>Total Expenses</t>
        </is>
      </c>
      <c r="L1" s="17" t="inlineStr">
        <is>
          <t>Profit</t>
        </is>
      </c>
      <c r="M1" s="80" t="n"/>
      <c r="N1" s="80" t="n"/>
      <c r="O1" s="80" t="n"/>
      <c r="P1" s="80" t="n"/>
      <c r="Q1" s="80" t="n"/>
      <c r="R1" s="80" t="n"/>
    </row>
    <row r="2" ht="25.5" customHeight="1">
      <c r="A2" s="21" t="n">
        <v>1</v>
      </c>
      <c r="B2" s="23" t="n">
        <v>2022</v>
      </c>
      <c r="C2" s="24" t="inlineStr">
        <is>
          <t>Nov</t>
        </is>
      </c>
      <c r="D2" s="24" t="n">
        <v>4426</v>
      </c>
      <c r="E2" s="24" t="n"/>
      <c r="F2" s="26">
        <f>((D2+E2)*0.8)</f>
        <v/>
      </c>
      <c r="G2" s="25">
        <f>(F2*15)</f>
        <v/>
      </c>
      <c r="H2" s="24" t="n">
        <v>886</v>
      </c>
      <c r="I2" s="24" t="n"/>
      <c r="J2" s="24" t="n">
        <v>30000</v>
      </c>
      <c r="K2" s="24">
        <f>(H2+I2+J2)</f>
        <v/>
      </c>
      <c r="L2" s="27">
        <f>(G2-K2)</f>
        <v/>
      </c>
    </row>
    <row r="3" ht="24.95" customHeight="1">
      <c r="A3" s="21" t="n">
        <v>2</v>
      </c>
      <c r="B3" s="23" t="n">
        <v>2022</v>
      </c>
      <c r="C3" s="24" t="inlineStr">
        <is>
          <t>Dec</t>
        </is>
      </c>
      <c r="D3" s="24" t="n">
        <v>6024</v>
      </c>
      <c r="E3" s="24" t="n"/>
      <c r="F3" s="26">
        <f>((D3+E3)*0.8)</f>
        <v/>
      </c>
      <c r="G3" s="25">
        <f>(F3*15)</f>
        <v/>
      </c>
      <c r="H3" s="24" t="n">
        <v>6345</v>
      </c>
      <c r="I3" s="24" t="n"/>
      <c r="J3" s="24" t="n">
        <v>30000</v>
      </c>
      <c r="K3" s="24">
        <f>(H3+I3+J3)</f>
        <v/>
      </c>
      <c r="L3" s="27">
        <f>(G3-K3)</f>
        <v/>
      </c>
    </row>
    <row r="4" ht="24.95" customFormat="1" customHeight="1" s="15">
      <c r="A4" s="22" t="n">
        <v>3</v>
      </c>
      <c r="B4" s="23" t="n">
        <v>2023</v>
      </c>
      <c r="C4" s="24" t="inlineStr">
        <is>
          <t>Jan</t>
        </is>
      </c>
      <c r="D4" s="29" t="n">
        <v>6622</v>
      </c>
      <c r="E4" s="24" t="n"/>
      <c r="F4" s="26">
        <f>((D4+E4)*0.8)</f>
        <v/>
      </c>
      <c r="G4" s="30">
        <f>(F4*15)</f>
        <v/>
      </c>
      <c r="H4" s="24" t="n">
        <v>27590</v>
      </c>
      <c r="I4" s="24" t="n"/>
      <c r="J4" s="24" t="n">
        <v>30000</v>
      </c>
      <c r="K4" s="24">
        <f>(H4+I4+J4)</f>
        <v/>
      </c>
      <c r="L4" s="27">
        <f>(G4-K4)</f>
        <v/>
      </c>
      <c r="M4" s="81" t="n"/>
      <c r="N4" s="81" t="n"/>
      <c r="O4" s="81" t="n"/>
      <c r="P4" s="81" t="n"/>
      <c r="Q4" s="81" t="n"/>
      <c r="R4" s="81" t="n"/>
    </row>
    <row r="5" ht="24.95" customHeight="1">
      <c r="A5" s="21" t="n">
        <v>4</v>
      </c>
      <c r="B5" s="23" t="n">
        <v>2023</v>
      </c>
      <c r="C5" s="24" t="inlineStr">
        <is>
          <t>Feb</t>
        </is>
      </c>
      <c r="D5" s="24" t="n">
        <v>6321</v>
      </c>
      <c r="E5" s="24" t="n"/>
      <c r="F5" s="26">
        <f>((D5+E5)*0.8)</f>
        <v/>
      </c>
      <c r="G5" s="25">
        <f>(F5*15)</f>
        <v/>
      </c>
      <c r="H5" s="24" t="n">
        <v>14875</v>
      </c>
      <c r="I5" s="24" t="n"/>
      <c r="J5" s="24" t="n">
        <v>30000</v>
      </c>
      <c r="K5" s="24">
        <f>(H5+I5+J5)</f>
        <v/>
      </c>
      <c r="L5" s="27">
        <f>(G5-K5)</f>
        <v/>
      </c>
    </row>
    <row r="6" ht="24.95" customHeight="1">
      <c r="A6" s="21" t="n">
        <v>5</v>
      </c>
      <c r="B6" s="23" t="n">
        <v>2023</v>
      </c>
      <c r="C6" s="24" t="inlineStr">
        <is>
          <t>March</t>
        </is>
      </c>
      <c r="D6" s="24" t="n">
        <v>6359</v>
      </c>
      <c r="E6" s="24" t="n"/>
      <c r="F6" s="26">
        <f>((D6+E6)*0.8)</f>
        <v/>
      </c>
      <c r="G6" s="25">
        <f>(F6*15)</f>
        <v/>
      </c>
      <c r="H6" s="24" t="n">
        <v>28546</v>
      </c>
      <c r="I6" s="24" t="n"/>
      <c r="J6" s="24" t="n">
        <v>30000</v>
      </c>
      <c r="K6" s="24">
        <f>(H6+I6+J6)</f>
        <v/>
      </c>
      <c r="L6" s="27">
        <f>(G6-K6)</f>
        <v/>
      </c>
      <c r="M6" s="92">
        <f>SUM(L2:L6)</f>
        <v/>
      </c>
    </row>
    <row r="7" ht="24.95" customFormat="1" customHeight="1" s="15">
      <c r="A7" s="22" t="n">
        <v>6</v>
      </c>
      <c r="B7" s="28" t="n">
        <v>2023</v>
      </c>
      <c r="C7" s="29" t="inlineStr">
        <is>
          <t>April</t>
        </is>
      </c>
      <c r="D7" s="29" t="n">
        <v>7972</v>
      </c>
      <c r="E7" s="29" t="n"/>
      <c r="F7" s="90">
        <f>((D7+E7)*0.8)</f>
        <v/>
      </c>
      <c r="G7" s="30">
        <f>(F7*15)</f>
        <v/>
      </c>
      <c r="H7" s="29" t="n">
        <v>32580</v>
      </c>
      <c r="I7" s="29" t="n"/>
      <c r="J7" s="29" t="n">
        <v>30000</v>
      </c>
      <c r="K7" s="29">
        <f>(H7+I7+J7)</f>
        <v/>
      </c>
      <c r="L7" s="91">
        <f>(G7-K7)</f>
        <v/>
      </c>
    </row>
    <row r="8" ht="24.95" customHeight="1">
      <c r="A8" s="21" t="n">
        <v>7</v>
      </c>
      <c r="B8" s="23" t="n">
        <v>2023</v>
      </c>
      <c r="C8" s="24" t="inlineStr">
        <is>
          <t>May</t>
        </is>
      </c>
      <c r="D8" s="24" t="n">
        <v>5693</v>
      </c>
      <c r="E8" s="24" t="n"/>
      <c r="F8" s="26">
        <f>((D8+E8)*0.8)</f>
        <v/>
      </c>
      <c r="G8" s="25">
        <f>(F8*15)</f>
        <v/>
      </c>
      <c r="H8" s="24" t="n">
        <v>33528</v>
      </c>
      <c r="I8" s="24" t="n"/>
      <c r="J8" s="24" t="n">
        <v>30000</v>
      </c>
      <c r="K8" s="24">
        <f>(H8+I8+J8)</f>
        <v/>
      </c>
      <c r="L8" s="27">
        <f>(G8-K8)</f>
        <v/>
      </c>
    </row>
    <row r="9" ht="24.95" customHeight="1">
      <c r="A9" s="21" t="n">
        <v>8</v>
      </c>
      <c r="B9" s="23" t="n">
        <v>2023</v>
      </c>
      <c r="C9" s="24" t="inlineStr">
        <is>
          <t>June</t>
        </is>
      </c>
      <c r="D9" s="24" t="n">
        <v>6821</v>
      </c>
      <c r="E9" s="24" t="n"/>
      <c r="F9" s="26">
        <f>((D9+E9)*0.8)</f>
        <v/>
      </c>
      <c r="G9" s="25">
        <f>(F9*15)</f>
        <v/>
      </c>
      <c r="H9" s="24" t="n">
        <v>35138</v>
      </c>
      <c r="I9" s="24" t="n"/>
      <c r="J9" s="24" t="n">
        <v>30000</v>
      </c>
      <c r="K9" s="24">
        <f>(H9+I9+J9)</f>
        <v/>
      </c>
      <c r="L9" s="27">
        <f>(G9-K9)</f>
        <v/>
      </c>
    </row>
    <row r="10" ht="24.95" customHeight="1">
      <c r="A10" s="21" t="n">
        <v>9</v>
      </c>
      <c r="B10" s="23" t="n">
        <v>2023</v>
      </c>
      <c r="C10" s="24" t="inlineStr">
        <is>
          <t>July</t>
        </is>
      </c>
      <c r="D10" s="24" t="n">
        <v>5987</v>
      </c>
      <c r="E10" s="24" t="n"/>
      <c r="F10" s="26">
        <f>((D10+E10)*0.8)</f>
        <v/>
      </c>
      <c r="G10" s="25">
        <f>(F10*15)</f>
        <v/>
      </c>
      <c r="H10" s="24" t="n">
        <v>31058</v>
      </c>
      <c r="I10" s="24" t="n"/>
      <c r="J10" s="24" t="n">
        <v>30000</v>
      </c>
      <c r="K10" s="24">
        <f>(H10+I10+J10)</f>
        <v/>
      </c>
      <c r="L10" s="27">
        <f>(G10-K10)</f>
        <v/>
      </c>
    </row>
    <row r="11" ht="24.95" customHeight="1">
      <c r="A11" s="21" t="n">
        <v>10</v>
      </c>
      <c r="B11" s="23" t="n">
        <v>2023</v>
      </c>
      <c r="C11" s="24" t="inlineStr">
        <is>
          <t>Aug</t>
        </is>
      </c>
      <c r="D11" s="24" t="n">
        <v>5410</v>
      </c>
      <c r="E11" s="24" t="n"/>
      <c r="F11" s="26">
        <f>((D11+E11)*0.8)</f>
        <v/>
      </c>
      <c r="G11" s="25">
        <f>(F11*15)</f>
        <v/>
      </c>
      <c r="H11" s="24" t="n">
        <v>32181</v>
      </c>
      <c r="I11" s="24" t="n"/>
      <c r="J11" s="24" t="n">
        <v>30000</v>
      </c>
      <c r="K11" s="24">
        <f>(H11+I11+J11)</f>
        <v/>
      </c>
      <c r="L11" s="27">
        <f>(G11-K11)</f>
        <v/>
      </c>
    </row>
    <row r="12" ht="24.95" customHeight="1">
      <c r="A12" s="21" t="n">
        <v>11</v>
      </c>
      <c r="B12" s="23" t="n">
        <v>2023</v>
      </c>
      <c r="C12" s="24" t="inlineStr">
        <is>
          <t>Sept</t>
        </is>
      </c>
      <c r="D12" s="24" t="n">
        <v>6862</v>
      </c>
      <c r="E12" s="24" t="n"/>
      <c r="F12" s="26">
        <f>((D12+E12)*0.8)</f>
        <v/>
      </c>
      <c r="G12" s="25">
        <f>(F12*15)</f>
        <v/>
      </c>
      <c r="H12" s="24" t="n">
        <v>34577</v>
      </c>
      <c r="I12" s="24" t="n"/>
      <c r="J12" s="24" t="n">
        <v>30000</v>
      </c>
      <c r="K12" s="24">
        <f>(H12+I12+J12)</f>
        <v/>
      </c>
      <c r="L12" s="27">
        <f>(G12-K12)</f>
        <v/>
      </c>
    </row>
    <row r="13" ht="24.95" customHeight="1">
      <c r="A13" s="21" t="n">
        <v>12</v>
      </c>
      <c r="B13" s="23" t="n">
        <v>2023</v>
      </c>
      <c r="C13" s="24" t="inlineStr">
        <is>
          <t>Oct</t>
        </is>
      </c>
      <c r="D13" s="24" t="n">
        <v>6710</v>
      </c>
      <c r="E13" s="24" t="n"/>
      <c r="F13" s="26">
        <f>((D13+E13)*0.8)</f>
        <v/>
      </c>
      <c r="G13" s="25">
        <f>(F13*15)</f>
        <v/>
      </c>
      <c r="H13" s="24" t="n">
        <v>37860</v>
      </c>
      <c r="I13" s="24" t="n"/>
      <c r="J13" s="24" t="n">
        <v>30000</v>
      </c>
      <c r="K13" s="24">
        <f>(H13+I13+J13)</f>
        <v/>
      </c>
      <c r="L13" s="27">
        <f>(G13-K13)</f>
        <v/>
      </c>
    </row>
    <row r="14" ht="24.95" customHeight="1">
      <c r="A14" s="21" t="n">
        <v>13</v>
      </c>
      <c r="B14" s="23" t="n">
        <v>2023</v>
      </c>
      <c r="C14" s="24" t="inlineStr">
        <is>
          <t>Nov</t>
        </is>
      </c>
      <c r="D14" s="24" t="n">
        <v>10164</v>
      </c>
      <c r="E14" s="24" t="n"/>
      <c r="F14" s="26">
        <f>((D14+E14)*0.8)</f>
        <v/>
      </c>
      <c r="G14" s="25">
        <f>(F14*15)</f>
        <v/>
      </c>
      <c r="H14" s="24" t="n">
        <v>33120</v>
      </c>
      <c r="I14" s="24" t="n"/>
      <c r="J14" s="24" t="n">
        <v>30000</v>
      </c>
      <c r="K14" s="24">
        <f>(H14+I14+J14)</f>
        <v/>
      </c>
      <c r="L14" s="27">
        <f>(G14-K14)</f>
        <v/>
      </c>
    </row>
    <row r="15" ht="24.95" customHeight="1">
      <c r="A15" s="21" t="n">
        <v>14</v>
      </c>
      <c r="B15" s="23" t="n">
        <v>2023</v>
      </c>
      <c r="C15" s="24" t="inlineStr">
        <is>
          <t>Dec</t>
        </is>
      </c>
      <c r="D15" s="24" t="n">
        <v>17920</v>
      </c>
      <c r="E15" s="24" t="n"/>
      <c r="F15" s="26">
        <f>((D15+E15)*0.8)</f>
        <v/>
      </c>
      <c r="G15" s="25">
        <f>(F15*15)</f>
        <v/>
      </c>
      <c r="H15" s="24" t="n">
        <v>19875</v>
      </c>
      <c r="I15" s="24" t="n"/>
      <c r="J15" s="24" t="n">
        <v>45000</v>
      </c>
      <c r="K15" s="24">
        <f>(H15+I15+J15)</f>
        <v/>
      </c>
      <c r="L15" s="27">
        <f>(G15-K15)</f>
        <v/>
      </c>
    </row>
    <row r="16" ht="24.95" customFormat="1" customHeight="1" s="15">
      <c r="A16" s="22" t="n">
        <v>15</v>
      </c>
      <c r="B16" s="23" t="n">
        <v>2024</v>
      </c>
      <c r="C16" s="31" t="inlineStr">
        <is>
          <t>Jan</t>
        </is>
      </c>
      <c r="D16" s="29" t="n">
        <v>12578</v>
      </c>
      <c r="E16" s="24" t="n"/>
      <c r="F16" s="26">
        <f>((D16+E16)*0.8)</f>
        <v/>
      </c>
      <c r="G16" s="30">
        <f>(F16*15)</f>
        <v/>
      </c>
      <c r="H16" s="29" t="n">
        <v>5586</v>
      </c>
      <c r="I16" s="24" t="n"/>
      <c r="J16" s="29" t="n">
        <v>40000</v>
      </c>
      <c r="K16" s="24">
        <f>(H16+I16+J16)</f>
        <v/>
      </c>
      <c r="L16" s="27">
        <f>(G16-K16)</f>
        <v/>
      </c>
      <c r="M16" s="81" t="n"/>
      <c r="N16" s="81" t="n"/>
      <c r="O16" s="81" t="n"/>
      <c r="P16" s="81" t="n"/>
      <c r="Q16" s="81" t="n"/>
      <c r="R16" s="81" t="n"/>
    </row>
    <row r="17" ht="24.95" customHeight="1">
      <c r="A17" s="21" t="n">
        <v>16</v>
      </c>
      <c r="B17" s="23" t="n">
        <v>2024</v>
      </c>
      <c r="C17" s="31" t="inlineStr">
        <is>
          <t>Feb</t>
        </is>
      </c>
      <c r="D17" s="24" t="n">
        <v>6381</v>
      </c>
      <c r="E17" s="24" t="n"/>
      <c r="F17" s="26">
        <f>((D17+E17)*0.8)</f>
        <v/>
      </c>
      <c r="G17" s="25">
        <f>(F17*15)</f>
        <v/>
      </c>
      <c r="H17" s="24" t="n">
        <v>12252</v>
      </c>
      <c r="I17" s="24" t="n"/>
      <c r="J17" s="24" t="n">
        <v>40000</v>
      </c>
      <c r="K17" s="24">
        <f>(H17+I17+J17)</f>
        <v/>
      </c>
      <c r="L17" s="27">
        <f>(G17-K17)</f>
        <v/>
      </c>
    </row>
    <row r="18" ht="24.95" customHeight="1">
      <c r="A18" s="21" t="n">
        <v>17</v>
      </c>
      <c r="B18" s="23" t="n">
        <v>2024</v>
      </c>
      <c r="C18" s="31" t="inlineStr">
        <is>
          <t>March</t>
        </is>
      </c>
      <c r="D18" s="24" t="n">
        <v>8110</v>
      </c>
      <c r="E18" s="24" t="n">
        <v>1270</v>
      </c>
      <c r="F18" s="26">
        <f>((D18+E18)*0.8)</f>
        <v/>
      </c>
      <c r="G18" s="25">
        <f>(F18*15)</f>
        <v/>
      </c>
      <c r="H18" s="24" t="n">
        <v>24827</v>
      </c>
      <c r="I18" s="24" t="n">
        <v>4156</v>
      </c>
      <c r="J18" s="24" t="n">
        <v>30000</v>
      </c>
      <c r="K18" s="24">
        <f>(H18+I18+J18)</f>
        <v/>
      </c>
      <c r="L18" s="27">
        <f>(G18-K18)</f>
        <v/>
      </c>
      <c r="M18" s="92">
        <f>SUM(L7:L18)</f>
        <v/>
      </c>
      <c r="N18" s="81" t="inlineStr">
        <is>
          <t>ROISHREE</t>
        </is>
      </c>
    </row>
    <row r="19" ht="24.95" customFormat="1" customHeight="1" s="15">
      <c r="A19" s="22" t="n">
        <v>18</v>
      </c>
      <c r="B19" s="28" t="n">
        <v>2024</v>
      </c>
      <c r="C19" s="32" t="inlineStr">
        <is>
          <t>April</t>
        </is>
      </c>
      <c r="D19" s="29" t="n">
        <v>6259</v>
      </c>
      <c r="E19" s="29" t="n">
        <v>1091</v>
      </c>
      <c r="F19" s="90">
        <f>((D19+E19)*0.8)</f>
        <v/>
      </c>
      <c r="G19" s="30">
        <f>(F19*15)</f>
        <v/>
      </c>
      <c r="H19" s="29" t="n">
        <v>20722</v>
      </c>
      <c r="I19" s="29" t="n">
        <v>0</v>
      </c>
      <c r="J19" s="29" t="n">
        <v>30000</v>
      </c>
      <c r="K19" s="29">
        <f>(H19+I19+J19)</f>
        <v/>
      </c>
      <c r="L19" s="91">
        <f>(G19-K19)</f>
        <v/>
      </c>
    </row>
    <row r="20" ht="24.95" customHeight="1">
      <c r="A20" s="21" t="n">
        <v>19</v>
      </c>
      <c r="B20" s="23" t="n">
        <v>2024</v>
      </c>
      <c r="C20" s="31" t="inlineStr">
        <is>
          <t>May</t>
        </is>
      </c>
      <c r="D20" s="24" t="n">
        <v>7059</v>
      </c>
      <c r="E20" s="24" t="n">
        <v>979</v>
      </c>
      <c r="F20" s="26">
        <f>((D20+E20)*0.8)</f>
        <v/>
      </c>
      <c r="G20" s="25">
        <f>(F20*15)</f>
        <v/>
      </c>
      <c r="H20" s="24" t="n">
        <v>21168</v>
      </c>
      <c r="I20" s="24" t="n">
        <v>0</v>
      </c>
      <c r="J20" s="24" t="n">
        <v>30000</v>
      </c>
      <c r="K20" s="24">
        <f>(H20+I20+J20)</f>
        <v/>
      </c>
      <c r="L20" s="27">
        <f>(G20-K20)</f>
        <v/>
      </c>
    </row>
    <row r="21" ht="24.95" customHeight="1">
      <c r="A21" s="21" t="n">
        <v>20</v>
      </c>
      <c r="B21" s="23" t="n">
        <v>2024</v>
      </c>
      <c r="C21" s="31" t="inlineStr">
        <is>
          <t>June</t>
        </is>
      </c>
      <c r="D21" s="24" t="n">
        <v>7545</v>
      </c>
      <c r="E21" s="24" t="n">
        <v>776</v>
      </c>
      <c r="F21" s="26">
        <f>((D21+E21)*0.8)</f>
        <v/>
      </c>
      <c r="G21" s="25">
        <f>(F21*15)</f>
        <v/>
      </c>
      <c r="H21" s="24" t="n">
        <v>22862</v>
      </c>
      <c r="I21" s="24" t="n">
        <v>1330</v>
      </c>
      <c r="J21" s="24" t="n">
        <v>30000</v>
      </c>
      <c r="K21" s="24">
        <f>(H21+I21+J21)</f>
        <v/>
      </c>
      <c r="L21" s="27">
        <f>(G21-K21)</f>
        <v/>
      </c>
    </row>
    <row r="22" ht="24.95" customFormat="1" customHeight="1" s="85">
      <c r="A22" s="23" t="n">
        <v>21</v>
      </c>
      <c r="B22" s="23" t="n">
        <v>2024</v>
      </c>
      <c r="C22" s="23" t="inlineStr">
        <is>
          <t>July</t>
        </is>
      </c>
      <c r="D22" s="23" t="n">
        <v>8760</v>
      </c>
      <c r="E22" s="23" t="n">
        <v>1364</v>
      </c>
      <c r="F22" s="26">
        <f>((D22+E22)*0.8)</f>
        <v/>
      </c>
      <c r="G22" s="23">
        <f>(F22*15)</f>
        <v/>
      </c>
      <c r="H22" s="23" t="n">
        <v>24634</v>
      </c>
      <c r="I22" s="23" t="n">
        <v>3830</v>
      </c>
      <c r="J22" s="23" t="n">
        <v>30000</v>
      </c>
      <c r="K22" s="24">
        <f>(H22+I22+J22)</f>
        <v/>
      </c>
      <c r="L22" s="27">
        <f>(G22-K22)</f>
        <v/>
      </c>
      <c r="M22" s="84" t="n"/>
      <c r="N22" s="84" t="n"/>
      <c r="O22" s="84" t="n"/>
      <c r="P22" s="84" t="n"/>
      <c r="Q22" s="84" t="n"/>
      <c r="R22" s="84" t="n"/>
    </row>
    <row r="23" ht="24.95" customHeight="1">
      <c r="A23" s="21" t="n">
        <v>22</v>
      </c>
      <c r="B23" s="23" t="n">
        <v>2024</v>
      </c>
      <c r="C23" s="24" t="inlineStr">
        <is>
          <t>Aug</t>
        </is>
      </c>
      <c r="D23" s="24" t="n">
        <v>7556</v>
      </c>
      <c r="E23" s="24" t="n">
        <v>2298</v>
      </c>
      <c r="F23" s="26">
        <f>((D23+E23)*0.8)</f>
        <v/>
      </c>
      <c r="G23" s="25">
        <f>(F23*15)</f>
        <v/>
      </c>
      <c r="H23" s="24" t="n">
        <v>26019</v>
      </c>
      <c r="I23" s="24" t="n">
        <v>9406</v>
      </c>
      <c r="J23" s="24" t="n">
        <v>30000</v>
      </c>
      <c r="K23" s="24">
        <f>(H23+I23+J23)</f>
        <v/>
      </c>
      <c r="L23" s="27">
        <f>(G23-K23)</f>
        <v/>
      </c>
    </row>
    <row r="24" ht="24.95" customHeight="1">
      <c r="A24" s="21" t="n">
        <v>23</v>
      </c>
      <c r="B24" s="23" t="n">
        <v>2024</v>
      </c>
      <c r="C24" s="24" t="inlineStr">
        <is>
          <t>Sept</t>
        </is>
      </c>
      <c r="D24" s="24" t="n">
        <v>11047</v>
      </c>
      <c r="E24" s="24" t="n">
        <v>1437</v>
      </c>
      <c r="F24" s="26">
        <f>((D24+E24)*0.8)</f>
        <v/>
      </c>
      <c r="G24" s="25">
        <f>(F24*15)</f>
        <v/>
      </c>
      <c r="H24" s="24" t="n">
        <v>30200</v>
      </c>
      <c r="I24" s="24" t="n">
        <v>7022</v>
      </c>
      <c r="J24" s="24" t="n">
        <v>30000</v>
      </c>
      <c r="K24" s="24">
        <f>(H24+I24+J24)</f>
        <v/>
      </c>
      <c r="L24" s="27">
        <f>(G24-K24)</f>
        <v/>
      </c>
    </row>
    <row r="25" ht="24.95" customHeight="1">
      <c r="A25" s="21" t="n">
        <v>24</v>
      </c>
      <c r="B25" s="23" t="n">
        <v>2024</v>
      </c>
      <c r="C25" s="24" t="inlineStr">
        <is>
          <t>Oct</t>
        </is>
      </c>
      <c r="D25" s="24" t="n">
        <v>10965</v>
      </c>
      <c r="E25" s="24" t="n">
        <v>1392</v>
      </c>
      <c r="F25" s="26">
        <f>((D25+E25)*0.8)</f>
        <v/>
      </c>
      <c r="G25" s="25">
        <f>(F25*15)</f>
        <v/>
      </c>
      <c r="H25" s="24" t="n">
        <v>28928</v>
      </c>
      <c r="I25" s="24" t="n">
        <v>9768</v>
      </c>
      <c r="J25" s="24" t="n">
        <v>30000</v>
      </c>
      <c r="K25" s="24">
        <f>(H25+I25+J25)</f>
        <v/>
      </c>
      <c r="L25" s="27">
        <f>(G25-K25)</f>
        <v/>
      </c>
      <c r="M25" s="81" t="inlineStr">
        <is>
          <t>ROISMN</t>
        </is>
      </c>
    </row>
    <row r="26" ht="24.95" customHeight="1">
      <c r="A26" s="21" t="n">
        <v>25</v>
      </c>
      <c r="B26" s="23" t="n">
        <v>2024</v>
      </c>
      <c r="C26" s="24" t="inlineStr">
        <is>
          <t>Nov</t>
        </is>
      </c>
      <c r="D26" s="24" t="n">
        <v>14433</v>
      </c>
      <c r="E26" s="24" t="n">
        <v>1739</v>
      </c>
      <c r="F26" s="26">
        <f>((D26+E26)*0.8)</f>
        <v/>
      </c>
      <c r="G26" s="25">
        <f>(F26*15)</f>
        <v/>
      </c>
      <c r="H26" s="24" t="n">
        <v>24970</v>
      </c>
      <c r="I26" s="24" t="n">
        <v>11523</v>
      </c>
      <c r="J26" s="24" t="n">
        <v>33000</v>
      </c>
      <c r="K26" s="24">
        <f>(H26+I26+J26)</f>
        <v/>
      </c>
      <c r="L26" s="27">
        <f>(G26-K26)</f>
        <v/>
      </c>
    </row>
    <row r="27" ht="24.95" customHeight="1">
      <c r="A27" s="21" t="n">
        <v>25</v>
      </c>
      <c r="B27" s="23" t="n">
        <v>2024</v>
      </c>
      <c r="C27" s="24" t="inlineStr">
        <is>
          <t>Dec</t>
        </is>
      </c>
      <c r="D27" s="24" t="n">
        <v>15225</v>
      </c>
      <c r="E27" s="24" t="n">
        <v>2646</v>
      </c>
      <c r="F27" s="26">
        <f>((D27+E27)*0.8)</f>
        <v/>
      </c>
      <c r="G27" s="25">
        <f>(F27*15)</f>
        <v/>
      </c>
      <c r="H27" s="24" t="n">
        <v>32600</v>
      </c>
      <c r="I27" s="24" t="n">
        <v>14363</v>
      </c>
      <c r="J27" s="24" t="n">
        <v>35000</v>
      </c>
      <c r="K27" s="24">
        <f>(H27+I27+J27)</f>
        <v/>
      </c>
      <c r="L27" s="27">
        <f>(G27-K27)</f>
        <v/>
      </c>
    </row>
    <row r="28" ht="24.95" customHeight="1">
      <c r="A28" s="21" t="n">
        <v>26</v>
      </c>
      <c r="B28" s="28" t="n">
        <v>2025</v>
      </c>
      <c r="C28" s="24" t="inlineStr">
        <is>
          <t>Jan</t>
        </is>
      </c>
      <c r="D28" s="24" t="n">
        <v>18089</v>
      </c>
      <c r="E28" s="24" t="n">
        <v>3871</v>
      </c>
      <c r="F28" s="26">
        <f>((D28+E28)*0.8)</f>
        <v/>
      </c>
      <c r="G28" s="25">
        <f>(F28*15)</f>
        <v/>
      </c>
      <c r="H28" s="24" t="n">
        <v>36459</v>
      </c>
      <c r="I28" s="24" t="n">
        <v>17317</v>
      </c>
      <c r="J28" s="24" t="n">
        <v>35000</v>
      </c>
      <c r="K28" s="24">
        <f>(H28+I28+J28)</f>
        <v/>
      </c>
      <c r="L28" s="27">
        <f>(G28-K28)</f>
        <v/>
      </c>
    </row>
    <row r="29" ht="24.95" customHeight="1">
      <c r="A29" s="21" t="n">
        <v>26</v>
      </c>
      <c r="B29" s="23" t="n">
        <v>2025</v>
      </c>
      <c r="C29" s="24" t="inlineStr">
        <is>
          <t>Feb</t>
        </is>
      </c>
      <c r="D29" s="24" t="n">
        <v>10816</v>
      </c>
      <c r="E29" s="24" t="n">
        <v>2205</v>
      </c>
      <c r="F29" s="26">
        <f>((D29+E29)*0.8)</f>
        <v/>
      </c>
      <c r="G29" s="25">
        <f>(F29*15)</f>
        <v/>
      </c>
      <c r="H29" s="24" t="n">
        <v>28215</v>
      </c>
      <c r="I29" s="24" t="n">
        <v>12628</v>
      </c>
      <c r="J29" s="24" t="n">
        <v>35000</v>
      </c>
      <c r="K29" s="24">
        <f>(H29+I29+J29)</f>
        <v/>
      </c>
      <c r="L29" s="27">
        <f>(G29-K29)</f>
        <v/>
      </c>
    </row>
    <row r="30" ht="24.95" customHeight="1">
      <c r="A30" s="21" t="n">
        <v>26</v>
      </c>
      <c r="B30" s="23" t="n">
        <v>2025</v>
      </c>
      <c r="C30" s="24" t="inlineStr">
        <is>
          <t>March</t>
        </is>
      </c>
      <c r="D30" s="24" t="n">
        <v>11146</v>
      </c>
      <c r="E30" s="24" t="n">
        <v>3766</v>
      </c>
      <c r="F30" s="26">
        <f>((D30+E30)*0.8)</f>
        <v/>
      </c>
      <c r="G30" s="25">
        <f>(F30*15)</f>
        <v/>
      </c>
      <c r="H30" s="24" t="n">
        <v>28711</v>
      </c>
      <c r="I30" s="24" t="n">
        <v>6205</v>
      </c>
      <c r="J30" s="24" t="n">
        <v>35000</v>
      </c>
      <c r="K30" s="24">
        <f>(H30+I30+J30)</f>
        <v/>
      </c>
      <c r="L30" s="27">
        <f>(G30-K30)</f>
        <v/>
      </c>
      <c r="M30" s="92">
        <f>SUM(L19:L30)</f>
        <v/>
      </c>
    </row>
    <row r="31" ht="24.95" customFormat="1" customHeight="1" s="15">
      <c r="A31" s="22" t="n">
        <v>26</v>
      </c>
      <c r="B31" s="28" t="n">
        <v>2025</v>
      </c>
      <c r="C31" s="29" t="inlineStr">
        <is>
          <t>April</t>
        </is>
      </c>
      <c r="D31" s="29" t="n">
        <v>8849</v>
      </c>
      <c r="E31" s="29" t="n">
        <v>3607</v>
      </c>
      <c r="F31" s="90">
        <f>((D31+E31)*0.77)</f>
        <v/>
      </c>
      <c r="G31" s="30">
        <f>(F31*15)</f>
        <v/>
      </c>
      <c r="H31" s="29" t="n">
        <v>31466</v>
      </c>
      <c r="I31" s="29" t="n">
        <v>3460</v>
      </c>
      <c r="J31" s="29" t="n">
        <v>35000</v>
      </c>
      <c r="K31" s="29">
        <f>(H31+I31+J31)</f>
        <v/>
      </c>
      <c r="L31" s="91">
        <f>(G31-K31)</f>
        <v/>
      </c>
    </row>
    <row r="32" ht="24.95" customHeight="1">
      <c r="A32" s="21" t="n">
        <v>26</v>
      </c>
      <c r="B32" s="23" t="n">
        <v>2025</v>
      </c>
      <c r="C32" s="24" t="inlineStr">
        <is>
          <t>May</t>
        </is>
      </c>
      <c r="D32" s="24" t="n">
        <v>13894</v>
      </c>
      <c r="E32" s="24" t="n">
        <v>5719</v>
      </c>
      <c r="F32" s="26">
        <f>((D32+E32)*0.84)</f>
        <v/>
      </c>
      <c r="G32" s="25">
        <f>(F32*15)</f>
        <v/>
      </c>
      <c r="H32" s="24" t="n">
        <v>34327</v>
      </c>
      <c r="I32" s="24" t="n">
        <v>8724</v>
      </c>
      <c r="J32" s="24" t="n">
        <v>35000</v>
      </c>
      <c r="K32" s="24">
        <f>(H32+I32+J32)</f>
        <v/>
      </c>
      <c r="L32" s="27">
        <f>(G32-K32)</f>
        <v/>
      </c>
    </row>
    <row r="33" ht="24.95" customHeight="1">
      <c r="A33" s="21" t="n">
        <v>26</v>
      </c>
      <c r="B33" s="23" t="n">
        <v>2025</v>
      </c>
      <c r="C33" s="24" t="inlineStr">
        <is>
          <t>June</t>
        </is>
      </c>
      <c r="D33" s="24" t="n">
        <v>16536</v>
      </c>
      <c r="E33" s="24" t="n">
        <v>6427</v>
      </c>
      <c r="F33" s="26">
        <f>((D33+E33)*0.8)</f>
        <v/>
      </c>
      <c r="G33" s="25">
        <f>(F33*15)</f>
        <v/>
      </c>
      <c r="H33" s="24" t="n">
        <v>34329</v>
      </c>
      <c r="I33" s="24" t="n">
        <v>9577</v>
      </c>
      <c r="J33" s="24" t="n">
        <v>35000</v>
      </c>
      <c r="K33" s="24">
        <f>(H33+I33+J33)</f>
        <v/>
      </c>
      <c r="L33" s="27">
        <f>(G33-K33)</f>
        <v/>
      </c>
    </row>
    <row r="34" ht="24.95" customHeight="1">
      <c r="A34" s="21" t="n">
        <v>26</v>
      </c>
      <c r="B34" s="23" t="n">
        <v>2025</v>
      </c>
      <c r="C34" s="24" t="inlineStr">
        <is>
          <t>July</t>
        </is>
      </c>
      <c r="D34" s="24" t="n">
        <v>12339</v>
      </c>
      <c r="E34" s="24" t="n">
        <v>4628</v>
      </c>
      <c r="F34" s="26">
        <f>((D34+E34)*0.81)</f>
        <v/>
      </c>
      <c r="G34" s="25">
        <f>(F34*15)</f>
        <v/>
      </c>
      <c r="H34" s="24" t="n">
        <v>32046</v>
      </c>
      <c r="I34" s="24" t="n">
        <v>14920</v>
      </c>
      <c r="J34" s="24" t="n">
        <v>35000</v>
      </c>
      <c r="K34" s="24">
        <f>(H34+I34+J34)</f>
        <v/>
      </c>
      <c r="L34" s="27">
        <f>(G34-K34)</f>
        <v/>
      </c>
    </row>
    <row r="35" ht="24.95" customHeight="1">
      <c r="A35" s="21" t="n">
        <v>26</v>
      </c>
      <c r="B35" s="23" t="n">
        <v>2025</v>
      </c>
      <c r="C35" s="31" t="inlineStr">
        <is>
          <t>August</t>
        </is>
      </c>
      <c r="D35" s="24" t="n">
        <v>9740</v>
      </c>
      <c r="E35" s="24" t="n">
        <v>3005</v>
      </c>
      <c r="F35" s="26">
        <f>((D35+E35)*0.75)</f>
        <v/>
      </c>
      <c r="G35" s="25">
        <f>(F35*15)</f>
        <v/>
      </c>
      <c r="H35" s="24" t="n">
        <v>26757</v>
      </c>
      <c r="I35" s="24" t="n">
        <v>12520</v>
      </c>
      <c r="J35" s="24" t="n">
        <v>35000</v>
      </c>
      <c r="K35" s="24">
        <f>(H35+I35+J35)</f>
        <v/>
      </c>
      <c r="L35" s="27">
        <f>(G35-K35)</f>
        <v/>
      </c>
    </row>
    <row r="36" ht="24.95" customHeight="1">
      <c r="A36" s="21" t="n">
        <v>26</v>
      </c>
      <c r="B36" s="23" t="n">
        <v>2025</v>
      </c>
      <c r="C36" s="31" t="inlineStr">
        <is>
          <t>Sept</t>
        </is>
      </c>
      <c r="D36" s="24" t="n">
        <v>11854</v>
      </c>
      <c r="E36" s="24" t="n">
        <v>2208</v>
      </c>
      <c r="F36" s="26">
        <f>((D36+E36)*0.795)</f>
        <v/>
      </c>
      <c r="G36" s="25">
        <f>(F36*15)</f>
        <v/>
      </c>
      <c r="H36" s="24" t="n">
        <v>19875</v>
      </c>
      <c r="I36" s="24" t="n">
        <v>8353</v>
      </c>
      <c r="J36" s="24" t="n">
        <v>35000</v>
      </c>
      <c r="K36" s="24">
        <f>(H36+I36+J36)</f>
        <v/>
      </c>
      <c r="L36" s="27">
        <f>(G36-K36)</f>
        <v/>
      </c>
    </row>
  </sheetData>
  <conditionalFormatting sqref="D1:D104857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6">
    <cfRule type="colorScale" priority="7">
      <colorScale>
        <cfvo type="min"/>
        <cfvo type="percentile" val="50"/>
        <cfvo type="max"/>
        <color rgb="FF00B050"/>
        <color rgb="FFFFEB84"/>
        <color rgb="FFC00000"/>
      </colorScale>
    </cfRule>
  </conditionalFormatting>
  <conditionalFormatting sqref="H1 H37:H104857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6">
    <cfRule type="colorScale" priority="8">
      <colorScale>
        <cfvo type="min"/>
        <cfvo type="percentile" val="50"/>
        <cfvo type="max"/>
        <color rgb="FF00B050"/>
        <color rgb="FFFFEB84"/>
        <color rgb="FFC00000"/>
      </colorScale>
    </cfRule>
  </conditionalFormatting>
  <conditionalFormatting sqref="I1 I37:I104857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36">
    <cfRule type="colorScale" priority="2">
      <colorScale>
        <cfvo type="min"/>
        <cfvo type="percentile" val="50"/>
        <cfvo type="max"/>
        <color rgb="FF92D050"/>
        <color rgb="FFFFEB84"/>
        <color rgb="FFC00000"/>
      </colorScale>
    </cfRule>
  </conditionalFormatting>
  <conditionalFormatting sqref="J1:K1 J37:K1048576">
    <cfRule type="colorScale" priority="24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K2:K36">
    <cfRule type="colorScale" priority="1">
      <colorScale>
        <cfvo type="min"/>
        <cfvo type="percentile" val="50"/>
        <cfvo type="max"/>
        <color rgb="FF92D050"/>
        <color rgb="FFFFEB84"/>
        <color rgb="FFC00000"/>
      </colorScale>
    </cfRule>
  </conditionalFormatting>
  <conditionalFormatting sqref="L1:L104857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" right="0" top="0.39375" bottom="0.39375" header="0" footer="0"/>
  <pageSetup orientation="portrait" paperSize="9" horizontalDpi="300" verticalDpi="30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Poonam Dhakarh</dc:creator>
  <dcterms:created xmlns:dcterms="http://purl.org/dc/terms/" xmlns:xsi="http://www.w3.org/2001/XMLSchema-instance" xsi:type="dcterms:W3CDTF">2023-10-24T04:57:09Z</dcterms:created>
  <dcterms:modified xmlns:dcterms="http://purl.org/dc/terms/" xmlns:xsi="http://www.w3.org/2001/XMLSchema-instance" xsi:type="dcterms:W3CDTF">2025-11-21T09:25:05Z</dcterms:modified>
  <cp:lastModifiedBy>Poonam Dhakarh</cp:lastModifiedBy>
  <cp:revision>335</cp:revision>
</cp:coreProperties>
</file>